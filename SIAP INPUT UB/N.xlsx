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/>
  <xr:revisionPtr revIDLastSave="166" documentId="11_B5FABFD2AE14FD9B47DE854B08647D71B1EB6C91" xr6:coauthVersionLast="47" xr6:coauthVersionMax="47" xr10:uidLastSave="{55508C2F-BDAE-4FE3-8B6E-B9DBD1C2956A}"/>
  <bookViews>
    <workbookView xWindow="0" yWindow="0" windowWidth="23040" windowHeight="9060" xr2:uid="{00000000-000D-0000-FFFF-FFFF00000000}"/>
  </bookViews>
  <sheets>
    <sheet name="Sheet1" sheetId="1" r:id="rId1"/>
  </sheets>
  <definedNames>
    <definedName name="_xlnm._FilterDatabase" localSheetId="0" hidden="1">Sheet1!$A$1:$Y$31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" i="1" l="1"/>
  <c r="BI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BG4" i="1"/>
  <c r="BN4" i="1" s="1"/>
  <c r="BG6" i="1"/>
  <c r="BN6" i="1" s="1"/>
  <c r="BG8" i="1"/>
  <c r="BN8" i="1" s="1"/>
  <c r="BG10" i="1"/>
  <c r="BN10" i="1" s="1"/>
  <c r="BG11" i="1"/>
  <c r="BN11" i="1" s="1"/>
  <c r="BG12" i="1"/>
  <c r="BN12" i="1" s="1"/>
  <c r="BG15" i="1"/>
  <c r="BN15" i="1" s="1"/>
  <c r="BG16" i="1"/>
  <c r="BN16" i="1" s="1"/>
  <c r="BG17" i="1"/>
  <c r="BN17" i="1" s="1"/>
  <c r="BG18" i="1"/>
  <c r="BN18" i="1" s="1"/>
  <c r="BG19" i="1"/>
  <c r="BN19" i="1" s="1"/>
  <c r="BG20" i="1"/>
  <c r="BN20" i="1" s="1"/>
  <c r="BG22" i="1"/>
  <c r="BN22" i="1" s="1"/>
  <c r="BG23" i="1"/>
  <c r="BN23" i="1" s="1"/>
  <c r="BG25" i="1"/>
  <c r="BN25" i="1" s="1"/>
  <c r="BG26" i="1"/>
  <c r="BN26" i="1" s="1"/>
  <c r="BG27" i="1"/>
  <c r="BN27" i="1" s="1"/>
  <c r="BG28" i="1"/>
  <c r="BN28" i="1" s="1"/>
  <c r="BG29" i="1"/>
  <c r="BN29" i="1" s="1"/>
  <c r="BG30" i="1"/>
  <c r="BN30" i="1" s="1"/>
  <c r="BM31" i="1"/>
  <c r="BT31" i="1" s="1"/>
  <c r="BL31" i="1"/>
  <c r="BS31" i="1" s="1"/>
  <c r="BK31" i="1"/>
  <c r="BR31" i="1" s="1"/>
  <c r="BI31" i="1"/>
  <c r="BP31" i="1" s="1"/>
  <c r="BM30" i="1"/>
  <c r="BT30" i="1" s="1"/>
  <c r="BL30" i="1"/>
  <c r="BS30" i="1" s="1"/>
  <c r="BK30" i="1"/>
  <c r="BR30" i="1" s="1"/>
  <c r="BI30" i="1"/>
  <c r="BP30" i="1" s="1"/>
  <c r="BM29" i="1"/>
  <c r="BT29" i="1" s="1"/>
  <c r="BL29" i="1"/>
  <c r="BS29" i="1" s="1"/>
  <c r="BK29" i="1"/>
  <c r="BR29" i="1" s="1"/>
  <c r="BI29" i="1"/>
  <c r="BP29" i="1" s="1"/>
  <c r="BM28" i="1"/>
  <c r="BT28" i="1" s="1"/>
  <c r="BL28" i="1"/>
  <c r="BS28" i="1" s="1"/>
  <c r="BK28" i="1"/>
  <c r="BR28" i="1" s="1"/>
  <c r="BI28" i="1"/>
  <c r="BP28" i="1" s="1"/>
  <c r="BM27" i="1"/>
  <c r="BT27" i="1" s="1"/>
  <c r="BL27" i="1"/>
  <c r="BS27" i="1" s="1"/>
  <c r="BK27" i="1"/>
  <c r="BR27" i="1" s="1"/>
  <c r="BI27" i="1"/>
  <c r="BP27" i="1" s="1"/>
  <c r="BM26" i="1"/>
  <c r="BT26" i="1" s="1"/>
  <c r="BL26" i="1"/>
  <c r="BS26" i="1" s="1"/>
  <c r="BK26" i="1"/>
  <c r="BR26" i="1" s="1"/>
  <c r="BI26" i="1"/>
  <c r="BP26" i="1" s="1"/>
  <c r="BM25" i="1"/>
  <c r="BT25" i="1" s="1"/>
  <c r="BL25" i="1"/>
  <c r="BS25" i="1" s="1"/>
  <c r="BK25" i="1"/>
  <c r="BR25" i="1" s="1"/>
  <c r="BI25" i="1"/>
  <c r="BP25" i="1" s="1"/>
  <c r="BM24" i="1"/>
  <c r="BT24" i="1" s="1"/>
  <c r="BL24" i="1"/>
  <c r="BS24" i="1" s="1"/>
  <c r="BK24" i="1"/>
  <c r="BR24" i="1" s="1"/>
  <c r="BI24" i="1"/>
  <c r="BP24" i="1" s="1"/>
  <c r="BM23" i="1"/>
  <c r="BT23" i="1" s="1"/>
  <c r="BL23" i="1"/>
  <c r="BS23" i="1" s="1"/>
  <c r="BK23" i="1"/>
  <c r="BR23" i="1" s="1"/>
  <c r="BI23" i="1"/>
  <c r="BP23" i="1" s="1"/>
  <c r="BM22" i="1"/>
  <c r="BT22" i="1" s="1"/>
  <c r="BL22" i="1"/>
  <c r="BS22" i="1" s="1"/>
  <c r="BK22" i="1"/>
  <c r="BR22" i="1" s="1"/>
  <c r="BI22" i="1"/>
  <c r="BP22" i="1" s="1"/>
  <c r="BM21" i="1"/>
  <c r="BT21" i="1" s="1"/>
  <c r="BL21" i="1"/>
  <c r="BS21" i="1" s="1"/>
  <c r="BK21" i="1"/>
  <c r="BR21" i="1" s="1"/>
  <c r="BI21" i="1"/>
  <c r="BP21" i="1" s="1"/>
  <c r="BM20" i="1"/>
  <c r="BT20" i="1" s="1"/>
  <c r="BL20" i="1"/>
  <c r="BS20" i="1" s="1"/>
  <c r="BK20" i="1"/>
  <c r="BR20" i="1" s="1"/>
  <c r="BI20" i="1"/>
  <c r="BP20" i="1" s="1"/>
  <c r="BM19" i="1"/>
  <c r="BT19" i="1" s="1"/>
  <c r="BL19" i="1"/>
  <c r="BS19" i="1" s="1"/>
  <c r="BK19" i="1"/>
  <c r="BR19" i="1" s="1"/>
  <c r="BI19" i="1"/>
  <c r="BP19" i="1" s="1"/>
  <c r="BM18" i="1"/>
  <c r="BT18" i="1" s="1"/>
  <c r="BL18" i="1"/>
  <c r="BS18" i="1" s="1"/>
  <c r="BK18" i="1"/>
  <c r="BR18" i="1" s="1"/>
  <c r="BI18" i="1"/>
  <c r="BP18" i="1" s="1"/>
  <c r="BM17" i="1"/>
  <c r="BT17" i="1" s="1"/>
  <c r="BL17" i="1"/>
  <c r="BS17" i="1" s="1"/>
  <c r="BK17" i="1"/>
  <c r="BR17" i="1" s="1"/>
  <c r="BI17" i="1"/>
  <c r="BP17" i="1" s="1"/>
  <c r="BM16" i="1"/>
  <c r="BT16" i="1" s="1"/>
  <c r="BL16" i="1"/>
  <c r="BS16" i="1" s="1"/>
  <c r="BK16" i="1"/>
  <c r="BR16" i="1" s="1"/>
  <c r="BI16" i="1"/>
  <c r="BP16" i="1" s="1"/>
  <c r="BM15" i="1"/>
  <c r="BT15" i="1" s="1"/>
  <c r="BL15" i="1"/>
  <c r="BS15" i="1" s="1"/>
  <c r="BK15" i="1"/>
  <c r="BR15" i="1" s="1"/>
  <c r="BI15" i="1"/>
  <c r="BP15" i="1" s="1"/>
  <c r="BM14" i="1"/>
  <c r="BT14" i="1" s="1"/>
  <c r="BL14" i="1"/>
  <c r="BS14" i="1" s="1"/>
  <c r="BK14" i="1"/>
  <c r="BR14" i="1" s="1"/>
  <c r="BI14" i="1"/>
  <c r="BP14" i="1" s="1"/>
  <c r="BM13" i="1"/>
  <c r="BT13" i="1" s="1"/>
  <c r="BL13" i="1"/>
  <c r="BS13" i="1" s="1"/>
  <c r="BK13" i="1"/>
  <c r="BR13" i="1" s="1"/>
  <c r="BI13" i="1"/>
  <c r="BP13" i="1" s="1"/>
  <c r="BM12" i="1"/>
  <c r="BT12" i="1" s="1"/>
  <c r="BL12" i="1"/>
  <c r="BS12" i="1" s="1"/>
  <c r="BK12" i="1"/>
  <c r="BR12" i="1" s="1"/>
  <c r="BI12" i="1"/>
  <c r="BP12" i="1" s="1"/>
  <c r="BM11" i="1"/>
  <c r="BT11" i="1" s="1"/>
  <c r="BL11" i="1"/>
  <c r="BS11" i="1" s="1"/>
  <c r="BK11" i="1"/>
  <c r="BR11" i="1" s="1"/>
  <c r="BI11" i="1"/>
  <c r="BP11" i="1" s="1"/>
  <c r="BM10" i="1"/>
  <c r="BT10" i="1" s="1"/>
  <c r="BL10" i="1"/>
  <c r="BS10" i="1" s="1"/>
  <c r="BK10" i="1"/>
  <c r="BR10" i="1" s="1"/>
  <c r="BM9" i="1"/>
  <c r="BT9" i="1" s="1"/>
  <c r="BL9" i="1"/>
  <c r="BS9" i="1" s="1"/>
  <c r="BK9" i="1"/>
  <c r="BR9" i="1" s="1"/>
  <c r="BI9" i="1"/>
  <c r="BP9" i="1" s="1"/>
  <c r="BM8" i="1"/>
  <c r="BT8" i="1" s="1"/>
  <c r="BL8" i="1"/>
  <c r="BS8" i="1" s="1"/>
  <c r="BK8" i="1"/>
  <c r="BR8" i="1" s="1"/>
  <c r="BI8" i="1"/>
  <c r="BP8" i="1" s="1"/>
  <c r="BM7" i="1"/>
  <c r="BT7" i="1" s="1"/>
  <c r="BL7" i="1"/>
  <c r="BS7" i="1" s="1"/>
  <c r="BK7" i="1"/>
  <c r="BR7" i="1" s="1"/>
  <c r="BI7" i="1"/>
  <c r="BP7" i="1" s="1"/>
  <c r="BM6" i="1"/>
  <c r="BT6" i="1" s="1"/>
  <c r="BL6" i="1"/>
  <c r="BS6" i="1" s="1"/>
  <c r="BK6" i="1"/>
  <c r="BR6" i="1" s="1"/>
  <c r="BI6" i="1"/>
  <c r="BP6" i="1" s="1"/>
  <c r="BM5" i="1"/>
  <c r="BT5" i="1" s="1"/>
  <c r="BL5" i="1"/>
  <c r="BS5" i="1" s="1"/>
  <c r="BK5" i="1"/>
  <c r="BR5" i="1" s="1"/>
  <c r="BI5" i="1"/>
  <c r="BP5" i="1" s="1"/>
  <c r="BM4" i="1"/>
  <c r="BT4" i="1" s="1"/>
  <c r="BL4" i="1"/>
  <c r="BS4" i="1" s="1"/>
  <c r="BK4" i="1"/>
  <c r="BR4" i="1" s="1"/>
  <c r="BP4" i="1"/>
  <c r="BM3" i="1"/>
  <c r="BT3" i="1" s="1"/>
  <c r="BL3" i="1"/>
  <c r="BS3" i="1" s="1"/>
  <c r="BK3" i="1"/>
  <c r="BR3" i="1" s="1"/>
  <c r="BI3" i="1"/>
  <c r="BP3" i="1" s="1"/>
  <c r="BM2" i="1"/>
  <c r="BT2" i="1" s="1"/>
  <c r="BL2" i="1"/>
  <c r="BS2" i="1" s="1"/>
  <c r="BK2" i="1"/>
  <c r="BR2" i="1" s="1"/>
  <c r="BI2" i="1"/>
  <c r="BP2" i="1" s="1"/>
  <c r="BD31" i="1"/>
  <c r="AT31" i="1"/>
  <c r="AV31" i="1" s="1"/>
  <c r="AQ31" i="1"/>
  <c r="AS31" i="1" s="1"/>
  <c r="AN31" i="1"/>
  <c r="AP31" i="1" s="1"/>
  <c r="AK31" i="1"/>
  <c r="AM31" i="1" s="1"/>
  <c r="BJ31" i="1" s="1"/>
  <c r="BQ31" i="1" s="1"/>
  <c r="AH31" i="1"/>
  <c r="AJ31" i="1" s="1"/>
  <c r="AE31" i="1"/>
  <c r="AA31" i="1"/>
  <c r="AD31" i="1" s="1"/>
  <c r="BG31" i="1" s="1"/>
  <c r="BN31" i="1" s="1"/>
  <c r="BD30" i="1"/>
  <c r="AT30" i="1"/>
  <c r="AV30" i="1" s="1"/>
  <c r="AQ30" i="1"/>
  <c r="AS30" i="1" s="1"/>
  <c r="AN30" i="1"/>
  <c r="AP30" i="1" s="1"/>
  <c r="AK30" i="1"/>
  <c r="AM30" i="1" s="1"/>
  <c r="BJ30" i="1" s="1"/>
  <c r="BQ30" i="1" s="1"/>
  <c r="AH30" i="1"/>
  <c r="AJ30" i="1" s="1"/>
  <c r="AE30" i="1"/>
  <c r="AA30" i="1"/>
  <c r="AD30" i="1" s="1"/>
  <c r="BD29" i="1"/>
  <c r="AT29" i="1"/>
  <c r="AV29" i="1" s="1"/>
  <c r="AQ29" i="1"/>
  <c r="AS29" i="1" s="1"/>
  <c r="AN29" i="1"/>
  <c r="AP29" i="1" s="1"/>
  <c r="AK29" i="1"/>
  <c r="AM29" i="1" s="1"/>
  <c r="BJ29" i="1" s="1"/>
  <c r="BQ29" i="1" s="1"/>
  <c r="AH29" i="1"/>
  <c r="AJ29" i="1" s="1"/>
  <c r="AE29" i="1"/>
  <c r="AA29" i="1"/>
  <c r="AD29" i="1" s="1"/>
  <c r="BD28" i="1"/>
  <c r="AT28" i="1"/>
  <c r="AV28" i="1" s="1"/>
  <c r="AQ28" i="1"/>
  <c r="AS28" i="1" s="1"/>
  <c r="AN28" i="1"/>
  <c r="AP28" i="1" s="1"/>
  <c r="AK28" i="1"/>
  <c r="AM28" i="1" s="1"/>
  <c r="BJ28" i="1" s="1"/>
  <c r="BQ28" i="1" s="1"/>
  <c r="AH28" i="1"/>
  <c r="AJ28" i="1" s="1"/>
  <c r="AE28" i="1"/>
  <c r="AA28" i="1"/>
  <c r="AD28" i="1" s="1"/>
  <c r="BD27" i="1"/>
  <c r="AT27" i="1"/>
  <c r="AV27" i="1" s="1"/>
  <c r="AQ27" i="1"/>
  <c r="AS27" i="1" s="1"/>
  <c r="AN27" i="1"/>
  <c r="AP27" i="1" s="1"/>
  <c r="AK27" i="1"/>
  <c r="AM27" i="1" s="1"/>
  <c r="BJ27" i="1" s="1"/>
  <c r="BQ27" i="1" s="1"/>
  <c r="AH27" i="1"/>
  <c r="AJ27" i="1" s="1"/>
  <c r="AE27" i="1"/>
  <c r="AA27" i="1"/>
  <c r="AD27" i="1" s="1"/>
  <c r="BD26" i="1"/>
  <c r="AT26" i="1"/>
  <c r="AV26" i="1" s="1"/>
  <c r="AQ26" i="1"/>
  <c r="AS26" i="1" s="1"/>
  <c r="AN26" i="1"/>
  <c r="AP26" i="1" s="1"/>
  <c r="AK26" i="1"/>
  <c r="AM26" i="1" s="1"/>
  <c r="BJ26" i="1" s="1"/>
  <c r="BQ26" i="1" s="1"/>
  <c r="AH26" i="1"/>
  <c r="AJ26" i="1" s="1"/>
  <c r="AE26" i="1"/>
  <c r="AA26" i="1"/>
  <c r="AD26" i="1" s="1"/>
  <c r="BD25" i="1"/>
  <c r="AT25" i="1"/>
  <c r="AV25" i="1" s="1"/>
  <c r="AQ25" i="1"/>
  <c r="AS25" i="1" s="1"/>
  <c r="AN25" i="1"/>
  <c r="AP25" i="1" s="1"/>
  <c r="AK25" i="1"/>
  <c r="AM25" i="1" s="1"/>
  <c r="BJ25" i="1" s="1"/>
  <c r="BQ25" i="1" s="1"/>
  <c r="AH25" i="1"/>
  <c r="AJ25" i="1" s="1"/>
  <c r="AE25" i="1"/>
  <c r="AA25" i="1"/>
  <c r="AD25" i="1" s="1"/>
  <c r="BD24" i="1"/>
  <c r="AT24" i="1"/>
  <c r="AV24" i="1" s="1"/>
  <c r="AQ24" i="1"/>
  <c r="AS24" i="1" s="1"/>
  <c r="AN24" i="1"/>
  <c r="AP24" i="1" s="1"/>
  <c r="AK24" i="1"/>
  <c r="AM24" i="1" s="1"/>
  <c r="BJ24" i="1" s="1"/>
  <c r="BQ24" i="1" s="1"/>
  <c r="AH24" i="1"/>
  <c r="AJ24" i="1" s="1"/>
  <c r="AE24" i="1"/>
  <c r="AA24" i="1"/>
  <c r="BD23" i="1"/>
  <c r="AT23" i="1"/>
  <c r="AV23" i="1" s="1"/>
  <c r="AQ23" i="1"/>
  <c r="AS23" i="1" s="1"/>
  <c r="AN23" i="1"/>
  <c r="AP23" i="1" s="1"/>
  <c r="AK23" i="1"/>
  <c r="AM23" i="1" s="1"/>
  <c r="BJ23" i="1" s="1"/>
  <c r="BQ23" i="1" s="1"/>
  <c r="AH23" i="1"/>
  <c r="AJ23" i="1" s="1"/>
  <c r="AE23" i="1"/>
  <c r="AA23" i="1"/>
  <c r="AD23" i="1" s="1"/>
  <c r="BD22" i="1"/>
  <c r="AT22" i="1"/>
  <c r="AV22" i="1" s="1"/>
  <c r="AQ22" i="1"/>
  <c r="AS22" i="1" s="1"/>
  <c r="AN22" i="1"/>
  <c r="AP22" i="1" s="1"/>
  <c r="AK22" i="1"/>
  <c r="AM22" i="1" s="1"/>
  <c r="BJ22" i="1" s="1"/>
  <c r="BQ22" i="1" s="1"/>
  <c r="AH22" i="1"/>
  <c r="AJ22" i="1" s="1"/>
  <c r="AE22" i="1"/>
  <c r="AA22" i="1"/>
  <c r="AD22" i="1" s="1"/>
  <c r="BD21" i="1"/>
  <c r="AT21" i="1"/>
  <c r="AV21" i="1" s="1"/>
  <c r="AQ21" i="1"/>
  <c r="AS21" i="1" s="1"/>
  <c r="AN21" i="1"/>
  <c r="AP21" i="1" s="1"/>
  <c r="AK21" i="1"/>
  <c r="AM21" i="1" s="1"/>
  <c r="BJ21" i="1" s="1"/>
  <c r="BQ21" i="1" s="1"/>
  <c r="AH21" i="1"/>
  <c r="AJ21" i="1" s="1"/>
  <c r="AE21" i="1"/>
  <c r="AA21" i="1"/>
  <c r="AD21" i="1" s="1"/>
  <c r="BG21" i="1" s="1"/>
  <c r="BN21" i="1" s="1"/>
  <c r="BD20" i="1"/>
  <c r="AT20" i="1"/>
  <c r="AV20" i="1" s="1"/>
  <c r="AQ20" i="1"/>
  <c r="AS20" i="1" s="1"/>
  <c r="AN20" i="1"/>
  <c r="AP20" i="1" s="1"/>
  <c r="AK20" i="1"/>
  <c r="AM20" i="1" s="1"/>
  <c r="BJ20" i="1" s="1"/>
  <c r="BQ20" i="1" s="1"/>
  <c r="AH20" i="1"/>
  <c r="AJ20" i="1" s="1"/>
  <c r="AE20" i="1"/>
  <c r="AA20" i="1"/>
  <c r="AD20" i="1" s="1"/>
  <c r="BD19" i="1"/>
  <c r="AT19" i="1"/>
  <c r="AV19" i="1" s="1"/>
  <c r="AQ19" i="1"/>
  <c r="AS19" i="1" s="1"/>
  <c r="AN19" i="1"/>
  <c r="AP19" i="1" s="1"/>
  <c r="AK19" i="1"/>
  <c r="AM19" i="1" s="1"/>
  <c r="BJ19" i="1" s="1"/>
  <c r="BQ19" i="1" s="1"/>
  <c r="AH19" i="1"/>
  <c r="AJ19" i="1" s="1"/>
  <c r="AE19" i="1"/>
  <c r="AA19" i="1"/>
  <c r="AD19" i="1" s="1"/>
  <c r="BD18" i="1"/>
  <c r="AT18" i="1"/>
  <c r="AV18" i="1" s="1"/>
  <c r="AQ18" i="1"/>
  <c r="AS18" i="1" s="1"/>
  <c r="AN18" i="1"/>
  <c r="AP18" i="1" s="1"/>
  <c r="AK18" i="1"/>
  <c r="AM18" i="1" s="1"/>
  <c r="BJ18" i="1" s="1"/>
  <c r="BQ18" i="1" s="1"/>
  <c r="AH18" i="1"/>
  <c r="AJ18" i="1" s="1"/>
  <c r="AE18" i="1"/>
  <c r="AA18" i="1"/>
  <c r="AD18" i="1" s="1"/>
  <c r="BD17" i="1"/>
  <c r="AT17" i="1"/>
  <c r="AV17" i="1" s="1"/>
  <c r="AQ17" i="1"/>
  <c r="AS17" i="1" s="1"/>
  <c r="AN17" i="1"/>
  <c r="AP17" i="1" s="1"/>
  <c r="AK17" i="1"/>
  <c r="AM17" i="1" s="1"/>
  <c r="BJ17" i="1" s="1"/>
  <c r="BQ17" i="1" s="1"/>
  <c r="AH17" i="1"/>
  <c r="AJ17" i="1" s="1"/>
  <c r="AE17" i="1"/>
  <c r="AA17" i="1"/>
  <c r="AD17" i="1" s="1"/>
  <c r="BD16" i="1"/>
  <c r="AT16" i="1"/>
  <c r="AV16" i="1" s="1"/>
  <c r="AQ16" i="1"/>
  <c r="AS16" i="1" s="1"/>
  <c r="AN16" i="1"/>
  <c r="AP16" i="1" s="1"/>
  <c r="AK16" i="1"/>
  <c r="AM16" i="1" s="1"/>
  <c r="BJ16" i="1" s="1"/>
  <c r="BQ16" i="1" s="1"/>
  <c r="AH16" i="1"/>
  <c r="AJ16" i="1" s="1"/>
  <c r="AE16" i="1"/>
  <c r="AA16" i="1"/>
  <c r="AD16" i="1" s="1"/>
  <c r="BD15" i="1"/>
  <c r="AT15" i="1"/>
  <c r="AV15" i="1" s="1"/>
  <c r="AQ15" i="1"/>
  <c r="AS15" i="1" s="1"/>
  <c r="AN15" i="1"/>
  <c r="AP15" i="1" s="1"/>
  <c r="AK15" i="1"/>
  <c r="AM15" i="1" s="1"/>
  <c r="BJ15" i="1" s="1"/>
  <c r="BQ15" i="1" s="1"/>
  <c r="AH15" i="1"/>
  <c r="AJ15" i="1" s="1"/>
  <c r="AE15" i="1"/>
  <c r="AA15" i="1"/>
  <c r="AD15" i="1" s="1"/>
  <c r="BD14" i="1"/>
  <c r="AT14" i="1"/>
  <c r="AV14" i="1" s="1"/>
  <c r="AQ14" i="1"/>
  <c r="AS14" i="1" s="1"/>
  <c r="AN14" i="1"/>
  <c r="AP14" i="1" s="1"/>
  <c r="AK14" i="1"/>
  <c r="AM14" i="1" s="1"/>
  <c r="BJ14" i="1" s="1"/>
  <c r="BQ14" i="1" s="1"/>
  <c r="AH14" i="1"/>
  <c r="AJ14" i="1" s="1"/>
  <c r="AE14" i="1"/>
  <c r="AA14" i="1"/>
  <c r="AD14" i="1" s="1"/>
  <c r="BG14" i="1" s="1"/>
  <c r="BN14" i="1" s="1"/>
  <c r="BD13" i="1"/>
  <c r="AT13" i="1"/>
  <c r="AV13" i="1" s="1"/>
  <c r="AQ13" i="1"/>
  <c r="AS13" i="1" s="1"/>
  <c r="AN13" i="1"/>
  <c r="AP13" i="1" s="1"/>
  <c r="AK13" i="1"/>
  <c r="AM13" i="1" s="1"/>
  <c r="BJ13" i="1" s="1"/>
  <c r="BQ13" i="1" s="1"/>
  <c r="AH13" i="1"/>
  <c r="AJ13" i="1" s="1"/>
  <c r="AE13" i="1"/>
  <c r="AA13" i="1"/>
  <c r="AD13" i="1" s="1"/>
  <c r="BG13" i="1" s="1"/>
  <c r="BN13" i="1" s="1"/>
  <c r="BD12" i="1"/>
  <c r="AT12" i="1"/>
  <c r="AV12" i="1" s="1"/>
  <c r="AQ12" i="1"/>
  <c r="AS12" i="1" s="1"/>
  <c r="AN12" i="1"/>
  <c r="AP12" i="1" s="1"/>
  <c r="AK12" i="1"/>
  <c r="AM12" i="1" s="1"/>
  <c r="BJ12" i="1" s="1"/>
  <c r="BQ12" i="1" s="1"/>
  <c r="AH12" i="1"/>
  <c r="AJ12" i="1" s="1"/>
  <c r="AE12" i="1"/>
  <c r="AA12" i="1"/>
  <c r="AD12" i="1" s="1"/>
  <c r="BD11" i="1"/>
  <c r="AT11" i="1"/>
  <c r="AV11" i="1" s="1"/>
  <c r="AQ11" i="1"/>
  <c r="AS11" i="1" s="1"/>
  <c r="AN11" i="1"/>
  <c r="AP11" i="1" s="1"/>
  <c r="AK11" i="1"/>
  <c r="AM11" i="1" s="1"/>
  <c r="BJ11" i="1" s="1"/>
  <c r="BQ11" i="1" s="1"/>
  <c r="AH11" i="1"/>
  <c r="AJ11" i="1" s="1"/>
  <c r="AE11" i="1"/>
  <c r="AA11" i="1"/>
  <c r="AD11" i="1" s="1"/>
  <c r="BD10" i="1"/>
  <c r="AT10" i="1"/>
  <c r="AV10" i="1" s="1"/>
  <c r="AQ10" i="1"/>
  <c r="AS10" i="1" s="1"/>
  <c r="AN10" i="1"/>
  <c r="AP10" i="1" s="1"/>
  <c r="AK10" i="1"/>
  <c r="AM10" i="1" s="1"/>
  <c r="BJ10" i="1" s="1"/>
  <c r="BQ10" i="1" s="1"/>
  <c r="AH10" i="1"/>
  <c r="AJ10" i="1" s="1"/>
  <c r="BI10" i="1" s="1"/>
  <c r="BP10" i="1" s="1"/>
  <c r="AE10" i="1"/>
  <c r="AA10" i="1"/>
  <c r="AD10" i="1" s="1"/>
  <c r="BD9" i="1"/>
  <c r="AT9" i="1"/>
  <c r="AV9" i="1" s="1"/>
  <c r="AQ9" i="1"/>
  <c r="AS9" i="1" s="1"/>
  <c r="AN9" i="1"/>
  <c r="AP9" i="1" s="1"/>
  <c r="AK9" i="1"/>
  <c r="AM9" i="1" s="1"/>
  <c r="BJ9" i="1" s="1"/>
  <c r="BQ9" i="1" s="1"/>
  <c r="AH9" i="1"/>
  <c r="AJ9" i="1" s="1"/>
  <c r="AE9" i="1"/>
  <c r="AA9" i="1"/>
  <c r="AD9" i="1" s="1"/>
  <c r="BG9" i="1" s="1"/>
  <c r="BN9" i="1" s="1"/>
  <c r="BD8" i="1"/>
  <c r="AT8" i="1"/>
  <c r="AV8" i="1" s="1"/>
  <c r="AQ8" i="1"/>
  <c r="AS8" i="1" s="1"/>
  <c r="AN8" i="1"/>
  <c r="AP8" i="1" s="1"/>
  <c r="AK8" i="1"/>
  <c r="AM8" i="1" s="1"/>
  <c r="BJ8" i="1" s="1"/>
  <c r="BQ8" i="1" s="1"/>
  <c r="AH8" i="1"/>
  <c r="AJ8" i="1" s="1"/>
  <c r="AE8" i="1"/>
  <c r="AA8" i="1"/>
  <c r="AD8" i="1" s="1"/>
  <c r="BD7" i="1"/>
  <c r="AT7" i="1"/>
  <c r="AV7" i="1" s="1"/>
  <c r="AQ7" i="1"/>
  <c r="AS7" i="1" s="1"/>
  <c r="AN7" i="1"/>
  <c r="AP7" i="1" s="1"/>
  <c r="AK7" i="1"/>
  <c r="AM7" i="1" s="1"/>
  <c r="BJ7" i="1" s="1"/>
  <c r="BQ7" i="1" s="1"/>
  <c r="AH7" i="1"/>
  <c r="AJ7" i="1" s="1"/>
  <c r="AE7" i="1"/>
  <c r="AA7" i="1"/>
  <c r="AD7" i="1" s="1"/>
  <c r="BG7" i="1" s="1"/>
  <c r="BN7" i="1" s="1"/>
  <c r="BD6" i="1"/>
  <c r="AT6" i="1"/>
  <c r="AV6" i="1" s="1"/>
  <c r="AQ6" i="1"/>
  <c r="AS6" i="1" s="1"/>
  <c r="AN6" i="1"/>
  <c r="AP6" i="1" s="1"/>
  <c r="AK6" i="1"/>
  <c r="AM6" i="1" s="1"/>
  <c r="BJ6" i="1" s="1"/>
  <c r="BQ6" i="1" s="1"/>
  <c r="AH6" i="1"/>
  <c r="AJ6" i="1" s="1"/>
  <c r="AE6" i="1"/>
  <c r="AA6" i="1"/>
  <c r="AD6" i="1" s="1"/>
  <c r="BD5" i="1"/>
  <c r="AT5" i="1"/>
  <c r="AV5" i="1" s="1"/>
  <c r="AQ5" i="1"/>
  <c r="AS5" i="1" s="1"/>
  <c r="AN5" i="1"/>
  <c r="AP5" i="1" s="1"/>
  <c r="AK5" i="1"/>
  <c r="AM5" i="1" s="1"/>
  <c r="BJ5" i="1" s="1"/>
  <c r="BQ5" i="1" s="1"/>
  <c r="AH5" i="1"/>
  <c r="AJ5" i="1" s="1"/>
  <c r="AE5" i="1"/>
  <c r="AA5" i="1"/>
  <c r="AD5" i="1" s="1"/>
  <c r="BG5" i="1" s="1"/>
  <c r="BN5" i="1" s="1"/>
  <c r="BD4" i="1"/>
  <c r="AT4" i="1"/>
  <c r="AV4" i="1" s="1"/>
  <c r="AQ4" i="1"/>
  <c r="AS4" i="1" s="1"/>
  <c r="AN4" i="1"/>
  <c r="AP4" i="1" s="1"/>
  <c r="AK4" i="1"/>
  <c r="AM4" i="1" s="1"/>
  <c r="BJ4" i="1" s="1"/>
  <c r="BQ4" i="1" s="1"/>
  <c r="AH4" i="1"/>
  <c r="AJ4" i="1" s="1"/>
  <c r="AE4" i="1"/>
  <c r="AG4" i="1" s="1"/>
  <c r="AA4" i="1"/>
  <c r="AD4" i="1" s="1"/>
  <c r="BD3" i="1"/>
  <c r="AT3" i="1"/>
  <c r="AV3" i="1" s="1"/>
  <c r="AQ3" i="1"/>
  <c r="AS3" i="1" s="1"/>
  <c r="AN3" i="1"/>
  <c r="AP3" i="1" s="1"/>
  <c r="AK3" i="1"/>
  <c r="AM3" i="1" s="1"/>
  <c r="BJ3" i="1" s="1"/>
  <c r="BQ3" i="1" s="1"/>
  <c r="AH3" i="1"/>
  <c r="AJ3" i="1" s="1"/>
  <c r="AE3" i="1"/>
  <c r="AG3" i="1" s="1"/>
  <c r="AA3" i="1"/>
  <c r="AD3" i="1" s="1"/>
  <c r="BG3" i="1" s="1"/>
  <c r="BN3" i="1" s="1"/>
  <c r="BD2" i="1"/>
  <c r="AT2" i="1"/>
  <c r="AV2" i="1" s="1"/>
  <c r="AQ2" i="1"/>
  <c r="AS2" i="1" s="1"/>
  <c r="AN2" i="1"/>
  <c r="AP2" i="1" s="1"/>
  <c r="AK2" i="1"/>
  <c r="AM2" i="1" s="1"/>
  <c r="BJ2" i="1" s="1"/>
  <c r="BQ2" i="1" s="1"/>
  <c r="AH2" i="1"/>
  <c r="AJ2" i="1" s="1"/>
  <c r="AE2" i="1"/>
  <c r="AG2" i="1" s="1"/>
  <c r="AA2" i="1"/>
  <c r="AD2" i="1" s="1"/>
  <c r="BG2" i="1" s="1"/>
  <c r="BN2" i="1" s="1"/>
  <c r="AC24" i="1" l="1"/>
  <c r="AD24" i="1" s="1"/>
  <c r="BG24" i="1" s="1"/>
  <c r="BN24" i="1" s="1"/>
  <c r="AX2" i="1"/>
  <c r="BH2" i="1"/>
  <c r="BO2" i="1" s="1"/>
  <c r="AX3" i="1"/>
  <c r="BH3" i="1"/>
  <c r="BO3" i="1" s="1"/>
  <c r="AX4" i="1"/>
  <c r="BH4" i="1"/>
  <c r="BO4" i="1" s="1"/>
  <c r="AX5" i="1"/>
  <c r="BO5" i="1"/>
  <c r="AX6" i="1"/>
  <c r="BH6" i="1"/>
  <c r="BO6" i="1" s="1"/>
  <c r="AX7" i="1"/>
  <c r="BH7" i="1"/>
  <c r="BO7" i="1" s="1"/>
  <c r="AX8" i="1"/>
  <c r="BH8" i="1"/>
  <c r="BO8" i="1" s="1"/>
  <c r="AX9" i="1"/>
  <c r="BH9" i="1"/>
  <c r="BO9" i="1" s="1"/>
  <c r="AX10" i="1"/>
  <c r="BH10" i="1"/>
  <c r="BO10" i="1" s="1"/>
  <c r="AX11" i="1"/>
  <c r="BH11" i="1"/>
  <c r="BO11" i="1" s="1"/>
  <c r="AX12" i="1"/>
  <c r="BH12" i="1"/>
  <c r="BO12" i="1" s="1"/>
  <c r="AX13" i="1"/>
  <c r="BH13" i="1"/>
  <c r="BO13" i="1" s="1"/>
  <c r="AX14" i="1"/>
  <c r="BH14" i="1"/>
  <c r="BO14" i="1" s="1"/>
  <c r="AX15" i="1"/>
  <c r="BH15" i="1"/>
  <c r="BO15" i="1" s="1"/>
  <c r="AX16" i="1"/>
  <c r="BH16" i="1"/>
  <c r="BO16" i="1" s="1"/>
  <c r="AX17" i="1"/>
  <c r="BH17" i="1"/>
  <c r="BO17" i="1" s="1"/>
  <c r="AX18" i="1"/>
  <c r="BH18" i="1"/>
  <c r="BO18" i="1" s="1"/>
  <c r="AX19" i="1"/>
  <c r="BH19" i="1"/>
  <c r="BO19" i="1" s="1"/>
  <c r="AX20" i="1"/>
  <c r="BH20" i="1"/>
  <c r="BO20" i="1" s="1"/>
  <c r="AX21" i="1"/>
  <c r="BH21" i="1"/>
  <c r="BO21" i="1" s="1"/>
  <c r="AX22" i="1"/>
  <c r="BH22" i="1"/>
  <c r="BO22" i="1" s="1"/>
  <c r="AX23" i="1"/>
  <c r="BH23" i="1"/>
  <c r="BO23" i="1" s="1"/>
  <c r="AX24" i="1"/>
  <c r="BH24" i="1"/>
  <c r="BO24" i="1" s="1"/>
  <c r="AX25" i="1"/>
  <c r="BH25" i="1"/>
  <c r="BO25" i="1" s="1"/>
  <c r="AX26" i="1"/>
  <c r="BH26" i="1"/>
  <c r="BO26" i="1" s="1"/>
  <c r="AX27" i="1"/>
  <c r="BH27" i="1"/>
  <c r="BO27" i="1" s="1"/>
  <c r="AX28" i="1"/>
  <c r="BH28" i="1"/>
  <c r="BO28" i="1" s="1"/>
  <c r="AX29" i="1"/>
  <c r="BH29" i="1"/>
  <c r="BO29" i="1" s="1"/>
  <c r="AX30" i="1"/>
  <c r="BH30" i="1"/>
  <c r="BO30" i="1" s="1"/>
  <c r="AX31" i="1"/>
  <c r="BH31" i="1"/>
  <c r="BO31" i="1" s="1"/>
  <c r="AB2" i="1"/>
  <c r="AW2" i="1"/>
  <c r="AY2" i="1" s="1"/>
  <c r="AZ2" i="1" s="1"/>
  <c r="BA2" i="1" s="1"/>
  <c r="AB3" i="1"/>
  <c r="AW3" i="1"/>
  <c r="AY3" i="1" s="1"/>
  <c r="AZ3" i="1" s="1"/>
  <c r="BA3" i="1" s="1"/>
  <c r="AB4" i="1"/>
  <c r="AW4" i="1"/>
  <c r="AY4" i="1" s="1"/>
  <c r="AZ4" i="1" s="1"/>
  <c r="BA4" i="1" s="1"/>
  <c r="AB5" i="1"/>
  <c r="AW5" i="1"/>
  <c r="AY5" i="1" s="1"/>
  <c r="AZ5" i="1" s="1"/>
  <c r="BA5" i="1" s="1"/>
  <c r="AB6" i="1"/>
  <c r="AW6" i="1"/>
  <c r="AY6" i="1" s="1"/>
  <c r="AZ6" i="1" s="1"/>
  <c r="BA6" i="1" s="1"/>
  <c r="AB7" i="1"/>
  <c r="AW7" i="1"/>
  <c r="AY7" i="1" s="1"/>
  <c r="AZ7" i="1" s="1"/>
  <c r="BA7" i="1" s="1"/>
  <c r="AB8" i="1"/>
  <c r="AW8" i="1"/>
  <c r="AY8" i="1" s="1"/>
  <c r="AZ8" i="1" s="1"/>
  <c r="BA8" i="1" s="1"/>
  <c r="AB9" i="1"/>
  <c r="AW9" i="1"/>
  <c r="AY9" i="1" s="1"/>
  <c r="AZ9" i="1" s="1"/>
  <c r="BA9" i="1" s="1"/>
  <c r="AB10" i="1"/>
  <c r="AW10" i="1"/>
  <c r="AY10" i="1" s="1"/>
  <c r="AZ10" i="1" s="1"/>
  <c r="BA10" i="1" s="1"/>
  <c r="AB11" i="1"/>
  <c r="AW11" i="1"/>
  <c r="AY11" i="1" s="1"/>
  <c r="AZ11" i="1" s="1"/>
  <c r="BA11" i="1" s="1"/>
  <c r="AB12" i="1"/>
  <c r="AW12" i="1"/>
  <c r="AY12" i="1" s="1"/>
  <c r="AZ12" i="1" s="1"/>
  <c r="BA12" i="1" s="1"/>
  <c r="AB13" i="1"/>
  <c r="AW13" i="1"/>
  <c r="AY13" i="1" s="1"/>
  <c r="AZ13" i="1" s="1"/>
  <c r="BA13" i="1" s="1"/>
  <c r="AB14" i="1"/>
  <c r="AW14" i="1"/>
  <c r="AY14" i="1" s="1"/>
  <c r="AZ14" i="1" s="1"/>
  <c r="BA14" i="1" s="1"/>
  <c r="AB15" i="1"/>
  <c r="AW15" i="1"/>
  <c r="AY15" i="1" s="1"/>
  <c r="AZ15" i="1" s="1"/>
  <c r="BA15" i="1" s="1"/>
  <c r="AB16" i="1"/>
  <c r="AW16" i="1"/>
  <c r="AY16" i="1" s="1"/>
  <c r="AZ16" i="1" s="1"/>
  <c r="BA16" i="1" s="1"/>
  <c r="AB17" i="1"/>
  <c r="AW17" i="1"/>
  <c r="AY17" i="1" s="1"/>
  <c r="AZ17" i="1" s="1"/>
  <c r="BA17" i="1" s="1"/>
  <c r="AB18" i="1"/>
  <c r="AW18" i="1"/>
  <c r="AY18" i="1" s="1"/>
  <c r="AZ18" i="1" s="1"/>
  <c r="BA18" i="1" s="1"/>
  <c r="AB19" i="1"/>
  <c r="AW19" i="1"/>
  <c r="AY19" i="1" s="1"/>
  <c r="AZ19" i="1" s="1"/>
  <c r="BA19" i="1" s="1"/>
  <c r="AB20" i="1"/>
  <c r="AW20" i="1"/>
  <c r="AY20" i="1" s="1"/>
  <c r="AZ20" i="1" s="1"/>
  <c r="BA20" i="1" s="1"/>
  <c r="AB21" i="1"/>
  <c r="AW21" i="1"/>
  <c r="AY21" i="1" s="1"/>
  <c r="AZ21" i="1" s="1"/>
  <c r="BA21" i="1" s="1"/>
  <c r="AB22" i="1"/>
  <c r="AW22" i="1"/>
  <c r="AY22" i="1" s="1"/>
  <c r="AZ22" i="1" s="1"/>
  <c r="BA22" i="1" s="1"/>
  <c r="AB23" i="1"/>
  <c r="AW23" i="1"/>
  <c r="AY23" i="1" s="1"/>
  <c r="AZ23" i="1" s="1"/>
  <c r="BA23" i="1" s="1"/>
  <c r="AB24" i="1"/>
  <c r="AW24" i="1"/>
  <c r="AY24" i="1" s="1"/>
  <c r="AZ24" i="1" s="1"/>
  <c r="BA24" i="1" s="1"/>
  <c r="AB25" i="1"/>
  <c r="AW25" i="1"/>
  <c r="AY25" i="1" s="1"/>
  <c r="AZ25" i="1" s="1"/>
  <c r="BA25" i="1" s="1"/>
  <c r="AB26" i="1"/>
  <c r="AW26" i="1"/>
  <c r="AY26" i="1" s="1"/>
  <c r="AZ26" i="1" s="1"/>
  <c r="BA26" i="1" s="1"/>
  <c r="AB27" i="1"/>
  <c r="AW27" i="1"/>
  <c r="AY27" i="1" s="1"/>
  <c r="AZ27" i="1" s="1"/>
  <c r="BA27" i="1" s="1"/>
  <c r="AB28" i="1"/>
  <c r="AW28" i="1"/>
  <c r="AY28" i="1" s="1"/>
  <c r="AZ28" i="1" s="1"/>
  <c r="BA28" i="1" s="1"/>
  <c r="AB29" i="1"/>
  <c r="AW29" i="1"/>
  <c r="AY29" i="1" s="1"/>
  <c r="AZ29" i="1" s="1"/>
  <c r="BA29" i="1" s="1"/>
  <c r="AB30" i="1"/>
  <c r="AW30" i="1"/>
  <c r="AY30" i="1" s="1"/>
  <c r="AZ30" i="1" s="1"/>
  <c r="BA30" i="1" s="1"/>
  <c r="AB31" i="1"/>
  <c r="AW31" i="1"/>
  <c r="AY31" i="1" s="1"/>
  <c r="AZ31" i="1" s="1"/>
  <c r="BA31" i="1" s="1"/>
</calcChain>
</file>

<file path=xl/sharedStrings.xml><?xml version="1.0" encoding="utf-8"?>
<sst xmlns="http://schemas.openxmlformats.org/spreadsheetml/2006/main" count="359" uniqueCount="221">
  <si>
    <t>level_2_full_code</t>
  </si>
  <si>
    <t>kategori</t>
  </si>
  <si>
    <t>kode_kbli</t>
  </si>
  <si>
    <t>tahun_operasi</t>
  </si>
  <si>
    <t>nama_usaha</t>
  </si>
  <si>
    <t>keg_utama</t>
  </si>
  <si>
    <t>metrik_tenaga_kerja</t>
  </si>
  <si>
    <t>metrik_upah_gaji</t>
  </si>
  <si>
    <t>metrik_biaya_produksi</t>
  </si>
  <si>
    <t>metrik_biaya_pembelian</t>
  </si>
  <si>
    <t>metrik_biaya_operasional</t>
  </si>
  <si>
    <t>metrik_biaya_non_operasional</t>
  </si>
  <si>
    <t>metrik_total_pengeluaran</t>
  </si>
  <si>
    <t>metrik_pendapatan_barang_jasa</t>
  </si>
  <si>
    <t>metrik_pendapatan_lainnya</t>
  </si>
  <si>
    <t>metrik_nilai_tambah</t>
  </si>
  <si>
    <t>metrik_total_aset</t>
  </si>
  <si>
    <t>metrik_output</t>
  </si>
  <si>
    <t>reklasifikasi_skala_usaha</t>
  </si>
  <si>
    <t>skala_usaha_prelist</t>
  </si>
  <si>
    <t>rasio_ntb</t>
  </si>
  <si>
    <t>produktivitas</t>
  </si>
  <si>
    <t>flag_rasio_3_ntb_output</t>
  </si>
  <si>
    <t>link_fasih_sm</t>
  </si>
  <si>
    <t>catatan</t>
  </si>
  <si>
    <t>Upah gaji/TK</t>
  </si>
  <si>
    <t>Adj</t>
  </si>
  <si>
    <t>Upah gaji/Tk Adjusted</t>
  </si>
  <si>
    <t xml:space="preserve"> metrik_biaya_produksi adjusted</t>
  </si>
  <si>
    <t xml:space="preserve">metrik_biaya_pembelian </t>
  </si>
  <si>
    <t>metrik_biaya_pembelian adjusted</t>
  </si>
  <si>
    <t xml:space="preserve"> metrik_biaya_operasional adjusted</t>
  </si>
  <si>
    <t xml:space="preserve">metrik_biaya_non_operasional </t>
  </si>
  <si>
    <t>metrik_biaya_non_operasional  adjusted</t>
  </si>
  <si>
    <t xml:space="preserve">metrik_pendapatan_barang_jasa </t>
  </si>
  <si>
    <t>metrik_pendapatan_barang_jasa adjusted</t>
  </si>
  <si>
    <t xml:space="preserve">metrik_pendapatan_lainnya </t>
  </si>
  <si>
    <t>metrik_pendapatan_lainnya adjusted</t>
  </si>
  <si>
    <t>Output Hitung</t>
  </si>
  <si>
    <t>Konsumsi Antara Hitung</t>
  </si>
  <si>
    <t>Nilai Tambah Hitung</t>
  </si>
  <si>
    <t>Rasio NTB Hitung</t>
  </si>
  <si>
    <t>Range Rasio NTB</t>
  </si>
  <si>
    <t>Batas bawah rasio NTB</t>
  </si>
  <si>
    <t>Batas atas rasio NTB</t>
  </si>
  <si>
    <t>Rasio NTB (Jika Adjustmen, maka perbaiki manual)</t>
  </si>
  <si>
    <t>KBLI (menjadi)</t>
  </si>
  <si>
    <t>metrik_upah_gaji (menjadi)</t>
  </si>
  <si>
    <t>metrik_biaya_produksin (mejadi)</t>
  </si>
  <si>
    <t>metrik_biaya_pembelian (menjadi)</t>
  </si>
  <si>
    <t>metrik_biaya_operasional (menjadi)</t>
  </si>
  <si>
    <t>metrik_biaya_non_operasional (menjadi)</t>
  </si>
  <si>
    <t>metrik_pendapatan_barang_jasa (menjadi)</t>
  </si>
  <si>
    <t>metrik_pendapatan_lainnya (menjadi)</t>
  </si>
  <si>
    <t>metrik_upah_gaji (Remark)</t>
  </si>
  <si>
    <t>metrik_biaya_produksin (Remark)</t>
  </si>
  <si>
    <t>metrik_biaya_pembelian (Remark)</t>
  </si>
  <si>
    <t>metrik_biaya_operasional (Remark)</t>
  </si>
  <si>
    <t>metrik_biaya_non_operasional (Remark)</t>
  </si>
  <si>
    <t>metrik_pendapatan_barang_jasa (Remark)</t>
  </si>
  <si>
    <t>metrik_pendapatan_lainnya (Remark)</t>
  </si>
  <si>
    <t>Siap Input</t>
  </si>
  <si>
    <t>Sudah Diinput</t>
  </si>
  <si>
    <t>3273</t>
  </si>
  <si>
    <t>N</t>
  </si>
  <si>
    <t>72104</t>
  </si>
  <si>
    <t>1964</t>
  </si>
  <si>
    <t>PUSAT KAJIAN BENCANA DAN PENGUNGSI POLTEKESOS</t>
  </si>
  <si>
    <t>Melakukan penelitian ilmiah, pengkajian kebijakan, serta menyelenggarakan pelatihan teknis manajemen kebencanaan dan penanganan pengungsi</t>
  </si>
  <si>
    <t>UB</t>
  </si>
  <si>
    <t>UMK</t>
  </si>
  <si>
    <t>https://fasih-sm.bps.go.id/app/assignment/fd68e454-ba45-4b85-8205-f3bf777ded24/fe15dabc-3b78-472d-9f39-f6873e30966d</t>
  </si>
  <si>
    <t>SESUAI PERNYATAAN PENANGGUNG JAWAB USAHA</t>
  </si>
  <si>
    <t>72109</t>
  </si>
  <si>
    <t>1959</t>
  </si>
  <si>
    <t>LAPI ITB</t>
  </si>
  <si>
    <t>konsultansi, pengembangan teknologi tepat guna, dan pelatihan</t>
  </si>
  <si>
    <t>https://fasih-sm.bps.go.id/app/assignment/fd68e454-ba45-4b85-8205-f3bf777ded24/2ca870c0-f441-4882-8724-764250cb2673</t>
  </si>
  <si>
    <t> </t>
  </si>
  <si>
    <t>3276</t>
  </si>
  <si>
    <t>69201</t>
  </si>
  <si>
    <t>2011</t>
  </si>
  <si>
    <t>HADISOERYO DAN MAHARANI</t>
  </si>
  <si>
    <t>MELAYANI BERBAGAI BIDANG USAHA MANUFAKTUR JASA DAN PERDAGANGAN</t>
  </si>
  <si>
    <t>https://fasih-sm.bps.go.id/app/assignment/fd68e454-ba45-4b85-8205-f3bf777ded24/429f083d-249d-4bbb-9938-112fae787ff0</t>
  </si>
  <si>
    <t>-</t>
  </si>
  <si>
    <t>3204</t>
  </si>
  <si>
    <t>70209</t>
  </si>
  <si>
    <t>2010</t>
  </si>
  <si>
    <t>KANTOR PROJECT</t>
  </si>
  <si>
    <t>Jasa Pemeliharaan Site</t>
  </si>
  <si>
    <t>https://fasih-sm.bps.go.id/app/assignment/fd68e454-ba45-4b85-8205-f3bf777ded24/e958c7e0-2bb3-43ff-8635-14b646c7426e</t>
  </si>
  <si>
    <t>Laporan keuangan ikut pusat</t>
  </si>
  <si>
    <t>3216</t>
  </si>
  <si>
    <t>72102</t>
  </si>
  <si>
    <t>1995</t>
  </si>
  <si>
    <t>LGE INDONESIA RESEARCH AND DEVELOPMENT CENTER,PT</t>
  </si>
  <si>
    <t xml:space="preserve">PUSAT PENELITIAN DAN PENGEMBANGAN </t>
  </si>
  <si>
    <t>https://fasih-sm.bps.go.id/app/assignment/fd68e454-ba45-4b85-8205-f3bf777ded24/7e72c18b-8bc1-416d-9a7c-ebf30e303492</t>
  </si>
  <si>
    <t>3275</t>
  </si>
  <si>
    <t>MITRA KELUARGA KARYASEHAT TBK, PT</t>
  </si>
  <si>
    <t>AKTIVITAS KONSULTASI MANAJEMEN LAINNYA</t>
  </si>
  <si>
    <t>https://fasih-sm.bps.go.id/app/assignment/fd68e454-ba45-4b85-8205-f3bf777ded24/2f05a23a-6a61-4416-ab8b-a1ad76cd44b1</t>
  </si>
  <si>
    <t>3277</t>
  </si>
  <si>
    <t>70202</t>
  </si>
  <si>
    <t>2016</t>
  </si>
  <si>
    <t>ANTEN ASRI PERKASA, PT</t>
  </si>
  <si>
    <t>Kantor aspal atau kontraktor</t>
  </si>
  <si>
    <t>https://fasih-sm.bps.go.id/app/assignment/fd68e454-ba45-4b85-8205-f3bf777ded24/9a155fe3-576b-4664-8c60-d31c76544335</t>
  </si>
  <si>
    <t>71109</t>
  </si>
  <si>
    <t>1992</t>
  </si>
  <si>
    <t>ALOCITA MANDIRI PT</t>
  </si>
  <si>
    <t xml:space="preserve">Layanan jasa konsultasi proyek pemerintah </t>
  </si>
  <si>
    <t>https://fasih-sm.bps.go.id/app/assignment/fd68e454-ba45-4b85-8205-f3bf777ded24/7bd8ef35-91a8-4cf4-980e-ddc8fd99be8e</t>
  </si>
  <si>
    <t xml:space="preserve">PERUSAHAAN MENEMPATI 2 BANGUNAN ATAU 2 RUKO JADI TIDAK TAHU PASTI MENEMPATI BERAPA LUAS BANGUNAN </t>
  </si>
  <si>
    <t>2008</t>
  </si>
  <si>
    <t>FERINDO SAKTI PT</t>
  </si>
  <si>
    <t>Konsultan Outsourcing, Layanan Kebersihan (Cleaning Service), dan Perdagangan (Trading)</t>
  </si>
  <si>
    <t>https://fasih-sm.bps.go.id/app/assignment/fd68e454-ba45-4b85-8205-f3bf777ded24/9a96392e-8b2c-447c-a658-99d605040a74</t>
  </si>
  <si>
    <t xml:space="preserve">SUDAH BERHASIL DI DATA </t>
  </si>
  <si>
    <t>3214</t>
  </si>
  <si>
    <t>2025</t>
  </si>
  <si>
    <t xml:space="preserve">KANTOR SEKRETARIAT (APKB) </t>
  </si>
  <si>
    <t>Memfasilatasi permasalahan di perusahan</t>
  </si>
  <si>
    <t>https://fasih-sm.bps.go.id/app/assignment/fd68e454-ba45-4b85-8205-f3bf777ded24/1e877e32-15e7-4e91-a49b-e794ed734f0b</t>
  </si>
  <si>
    <t>3201</t>
  </si>
  <si>
    <t>72105</t>
  </si>
  <si>
    <t>1982</t>
  </si>
  <si>
    <t xml:space="preserve">BALAI BESAR PELATIHAN KESEHATAN HEWAN </t>
  </si>
  <si>
    <t>Jasa pelatihan aparatur dan non aparatur pertanian</t>
  </si>
  <si>
    <t>https://fasih-sm.bps.go.id/app/assignment/fd68e454-ba45-4b85-8205-f3bf777ded24/020aacdf-512a-49d9-8bbb-57bc342c47e9</t>
  </si>
  <si>
    <t>TENAGA KERJA DAN ASET SUDAH SESUAI KONDISI</t>
  </si>
  <si>
    <t>71102</t>
  </si>
  <si>
    <t>ATLANTIK SANGKARA ABADI PT</t>
  </si>
  <si>
    <t>Survey, ukur, mobilisasi, alat</t>
  </si>
  <si>
    <t>https://fasih-sm.bps.go.id/app/assignment/fd68e454-ba45-4b85-8205-f3bf777ded24/b673e6fc-8bcb-42b5-8380-bbc83a5485bd</t>
  </si>
  <si>
    <t>RESPONDEN BERHASIL DI CACAH</t>
  </si>
  <si>
    <t>71202</t>
  </si>
  <si>
    <t>1990</t>
  </si>
  <si>
    <t xml:space="preserve"> MUTU AGUNG LESTARI,PT</t>
  </si>
  <si>
    <t xml:space="preserve">SERTIFIKASI, INSPEKSI DAN LABORATORIUM </t>
  </si>
  <si>
    <t>https://fasih-sm.bps.go.id/app/assignment/fd68e454-ba45-4b85-8205-f3bf777ded24/f90b8658-dad1-4df3-ad81-40a21c44efda</t>
  </si>
  <si>
    <t>2006</t>
  </si>
  <si>
    <t>LAPI GANESHATAMA CONSULTING</t>
  </si>
  <si>
    <t>AKTIFITAS KE INSINYURAN DAN KONSULTASI TEKNIS YBDI</t>
  </si>
  <si>
    <t>https://fasih-sm.bps.go.id/app/assignment/fd68e454-ba45-4b85-8205-f3bf777ded24/613e04da-647d-4627-8044-a5dcc9f0fc5d</t>
  </si>
  <si>
    <t>PUSAT PENELITIAN POLTEKESOS BANDUNG</t>
  </si>
  <si>
    <t>Jasa penelitian, pengkajian kebijakan, dan pelatihan teknis manajemen kebencanaan</t>
  </si>
  <si>
    <t>https://fasih-sm.bps.go.id/app/assignment/fd68e454-ba45-4b85-8205-f3bf777ded24/2ceebfa6-ba3d-4aab-b718-68eb49c22723</t>
  </si>
  <si>
    <t>SESUAI DENGAN PENANGGUNG JAWAB USAHA</t>
  </si>
  <si>
    <t>2014</t>
  </si>
  <si>
    <t>BUKAKA KOKARINDO</t>
  </si>
  <si>
    <t xml:space="preserve">layanan teknik dan rekayasa (engineering service) </t>
  </si>
  <si>
    <t>https://fasih-sm.bps.go.id/app/assignment/fd68e454-ba45-4b85-8205-f3bf777ded24/571a89d4-6b09-4e73-8557-60b18b88895a</t>
  </si>
  <si>
    <t>71101</t>
  </si>
  <si>
    <t>1980</t>
  </si>
  <si>
    <t>BITA ENARCON ENGINEERING</t>
  </si>
  <si>
    <t>Memberikan layanan konsultasi yang ditawarkan meliputi pekerjaan desain arsitektur dan semua teknik (sipil, struktur, mekanik, peepiaan dan listrik)</t>
  </si>
  <si>
    <t>https://fasih-sm.bps.go.id/app/assignment/fd68e454-ba45-4b85-8205-f3bf777ded24/4d9694e8-bed0-4cba-9931-fc166df4a888</t>
  </si>
  <si>
    <t>DITEMUKAN DAN SESUAI.DILAPANGAN</t>
  </si>
  <si>
    <t>74113</t>
  </si>
  <si>
    <t>HEMDEN CORP,CV</t>
  </si>
  <si>
    <t>Konveksi garmen</t>
  </si>
  <si>
    <t>https://fasih-sm.bps.go.id/app/assignment/fd68e454-ba45-4b85-8205-f3bf777ded24/e49eaae0-a0f7-491e-9eb9-fe5b722de899</t>
  </si>
  <si>
    <t>2015</t>
  </si>
  <si>
    <t>YAYASAN FILANTRA</t>
  </si>
  <si>
    <t>AKTIVITAS KEMANUSIAAN</t>
  </si>
  <si>
    <t>https://fasih-sm.bps.go.id/app/assignment/fd68e454-ba45-4b85-8205-f3bf777ded24/9ba4abee-d1e3-45a4-b63b-1af6e9702013</t>
  </si>
  <si>
    <t>IBU ENDAH LISTIANI SEBAGAI BENDAHARA YAYASAN FILANTRA INDONESIA, FILANTRA BERGERAK DIBIDANG PEMBERDAYAAN KEMANUSIAAN</t>
  </si>
  <si>
    <t>74192</t>
  </si>
  <si>
    <t>2026</t>
  </si>
  <si>
    <t>YUS MEDIA GRAFIKA ,PT</t>
  </si>
  <si>
    <t>MELAKUKAN PERCETAKAN DAN DESAIN</t>
  </si>
  <si>
    <t>https://fasih-sm.bps.go.id/app/assignment/fd68e454-ba45-4b85-8205-f3bf777ded24/8cb09bc1-2fa3-4fb6-ab2b-3862de37735d</t>
  </si>
  <si>
    <t>2004</t>
  </si>
  <si>
    <t>TESLA ELEKTRIKA, PT</t>
  </si>
  <si>
    <t>Penyediaan produk proteksi petir (lightning protection), jasa konsultasi &amp; rekayasa teknik, jasa instalasi, pengujian &amp; perawatan (EPC &amp; maintance)</t>
  </si>
  <si>
    <t>https://fasih-sm.bps.go.id/app/assignment/fd68e454-ba45-4b85-8205-f3bf777ded24/b0048601-5c0b-4e7d-9fac-c7ed6bcb9f7f</t>
  </si>
  <si>
    <t>PERUSAHAAN INI MASIH AKTIF</t>
  </si>
  <si>
    <t>3202</t>
  </si>
  <si>
    <t>1996</t>
  </si>
  <si>
    <t>SUKABUMI ALAM MANDIRI, PT</t>
  </si>
  <si>
    <t>Aktivitas konsultasi manajemen lainnya</t>
  </si>
  <si>
    <t>UM</t>
  </si>
  <si>
    <t>https://fasih-sm.bps.go.id/app/assignment/fd68e454-ba45-4b85-8205-f3bf777ded24/55f9d12f-c645-4a31-9b52-715be0a876df</t>
  </si>
  <si>
    <t>PROTEINDO KARYASEHAT PT</t>
  </si>
  <si>
    <t>AKTIVITAS KONSULTASI DAN MANAJEMEN LAINNYA</t>
  </si>
  <si>
    <t>https://fasih-sm.bps.go.id/app/assignment/fd68e454-ba45-4b85-8205-f3bf777ded24/5f155b26-24ec-49dc-8545-838c26861aea</t>
  </si>
  <si>
    <t>2017</t>
  </si>
  <si>
    <t>MOSFET INTERLOCK INDONESIA PT</t>
  </si>
  <si>
    <t>pengembangan sistem aplikasi otomasi, digitalisasi, serta kontraktor mechanical electrical</t>
  </si>
  <si>
    <t>https://fasih-sm.bps.go.id/app/assignment/fd68e454-ba45-4b85-8205-f3bf777ded24/23a69bf4-1d97-4b3d-b12a-d6b23e6f4f63</t>
  </si>
  <si>
    <t>3209</t>
  </si>
  <si>
    <t>70100</t>
  </si>
  <si>
    <t>2005</t>
  </si>
  <si>
    <t>PERTAMINA ASSET 3 KANTOR BESAR PERTAMINA, PT</t>
  </si>
  <si>
    <t>MINYAK BUMI DAN GAS</t>
  </si>
  <si>
    <t>https://fasih-sm.bps.go.id/app/assignment/fd68e454-ba45-4b85-8205-f3bf777ded24/4484e03c-c3b6-4e4f-bb36-4a0a93beff14</t>
  </si>
  <si>
    <t>SISTEMAJU MANDIRI PRAKARSA</t>
  </si>
  <si>
    <t>Kantor pusat atau administrasi pengelolaan spbu</t>
  </si>
  <si>
    <t>https://fasih-sm.bps.go.id/app/assignment/fd68e454-ba45-4b85-8205-f3bf777ded24/1c81649e-76f1-4d08-9c74-1770cf1992b7</t>
  </si>
  <si>
    <t>UNTUK PENDAPATAN DAN PENGELUARAN ADALAH TOTAL DARI SEMUANYA TERMASUK SPBU, DAN HARGA ASSET MAUPUN TOTAL ASSET ADALAH TOTAL DARI SPBU NYA JUGA</t>
  </si>
  <si>
    <t>MIGAS UTAMA JABAR PT</t>
  </si>
  <si>
    <t>Pertambangan Minyak, Gas, dan Aktivitas Penunjang Pertambangan Alam</t>
  </si>
  <si>
    <t>https://fasih-sm.bps.go.id/app/assignment/fd68e454-ba45-4b85-8205-f3bf777ded24/ce4f7b58-309a-42db-a2b2-d560fedfdfa8</t>
  </si>
  <si>
    <t>DARI CATATAN DATA</t>
  </si>
  <si>
    <t>LAPI GANESHA UTAMA, PT</t>
  </si>
  <si>
    <t>JASA KONSULTASI TEKNIK</t>
  </si>
  <si>
    <t>https://fasih-sm.bps.go.id/app/assignment/fd68e454-ba45-4b85-8205-f3bf777ded24/9b3277c8-b2ec-4e3f-a48b-a532f2dbcbf7</t>
  </si>
  <si>
    <t>DATA SUDAH MASUK KE L.UB</t>
  </si>
  <si>
    <t>3203</t>
  </si>
  <si>
    <t>THREE SIX WORLD, PT</t>
  </si>
  <si>
    <t>Membuat pakaian (Garmen)</t>
  </si>
  <si>
    <t>https://fasih-sm.bps.go.id/app/assignment/fd68e454-ba45-4b85-8205-f3bf777ded24/a10ac925-640b-4235-b98c-8d43af37fdeb</t>
  </si>
  <si>
    <t>DATA YANG DI INPUT SESUAI DENGAN HASIL PENDATAAN UB</t>
  </si>
  <si>
    <t>3207</t>
  </si>
  <si>
    <t>69104</t>
  </si>
  <si>
    <t>NOTARIS PPAT (ANNISA RAHMA F)</t>
  </si>
  <si>
    <t>MEMBUAT SERTIFIKAT AKTA TANAH</t>
  </si>
  <si>
    <t>https://fasih-sm.bps.go.id/app/assignment/fd68e454-ba45-4b85-8205-f3bf777ded24/9f62b415-5b9a-478a-9484-00d67449924c</t>
  </si>
  <si>
    <t>NIB LUPA NYIMPAN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</si>
</sst>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* #,##0.00_ ;_ * \-#,##0.00_ ;_ * &quot;-&quot;??_ ;_ @_ "/>
    <numFmt numFmtId="165" formatCode="_ * #,##0_ ;_ * \-#,##0_ ;_ * &quot;-&quot;??_ ;_ @_ "/>
    <numFmt numFmtId="166" formatCode="_ * #,##0.000000_ ;_ * \-#,##0.000000_ ;_ * &quot;-&quot;??_ ;_ @_ "/>
    <numFmt numFmtId="167" formatCode="_-* #,##0_-;\-* #,##0_-;_-* &quot;-&quot;??_-;_-@_-"/>
    <numFmt numFmtId="168" formatCode="_(* #,##0_);_(* \(#,##0\);_(* &quot;-&quot;??_);_(@_)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b/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Calibri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E79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0" fillId="0" borderId="2" xfId="0" applyBorder="1"/>
    <xf numFmtId="165" fontId="0" fillId="0" borderId="2" xfId="1" applyNumberFormat="1" applyFont="1" applyBorder="1" applyAlignment="1"/>
    <xf numFmtId="0" fontId="2" fillId="0" borderId="2" xfId="2" applyBorder="1" applyAlignment="1" applyProtection="1"/>
    <xf numFmtId="0" fontId="1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top"/>
    </xf>
    <xf numFmtId="0" fontId="1" fillId="5" borderId="0" xfId="0" applyFont="1" applyFill="1" applyAlignment="1">
      <alignment horizontal="center" vertical="top" wrapText="1"/>
    </xf>
    <xf numFmtId="0" fontId="0" fillId="5" borderId="2" xfId="0" applyFill="1" applyBorder="1"/>
    <xf numFmtId="0" fontId="0" fillId="5" borderId="0" xfId="0" applyFill="1"/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165" fontId="5" fillId="0" borderId="3" xfId="0" applyNumberFormat="1" applyFont="1" applyBorder="1"/>
    <xf numFmtId="0" fontId="5" fillId="2" borderId="3" xfId="0" applyFont="1" applyFill="1" applyBorder="1"/>
    <xf numFmtId="165" fontId="5" fillId="8" borderId="3" xfId="0" applyNumberFormat="1" applyFont="1" applyFill="1" applyBorder="1"/>
    <xf numFmtId="166" fontId="5" fillId="0" borderId="3" xfId="0" applyNumberFormat="1" applyFont="1" applyBorder="1"/>
    <xf numFmtId="0" fontId="5" fillId="0" borderId="3" xfId="0" applyFont="1" applyBorder="1"/>
    <xf numFmtId="0" fontId="0" fillId="2" borderId="0" xfId="0" applyFill="1"/>
    <xf numFmtId="167" fontId="0" fillId="0" borderId="2" xfId="0" applyNumberFormat="1" applyBorder="1"/>
    <xf numFmtId="0" fontId="1" fillId="9" borderId="0" xfId="0" applyFont="1" applyFill="1" applyAlignment="1">
      <alignment horizontal="center" vertical="top" wrapText="1"/>
    </xf>
    <xf numFmtId="0" fontId="6" fillId="10" borderId="3" xfId="0" applyFont="1" applyFill="1" applyBorder="1"/>
    <xf numFmtId="0" fontId="0" fillId="11" borderId="2" xfId="0" applyFill="1" applyBorder="1"/>
    <xf numFmtId="165" fontId="0" fillId="11" borderId="2" xfId="1" applyNumberFormat="1" applyFont="1" applyFill="1" applyBorder="1" applyAlignment="1"/>
    <xf numFmtId="0" fontId="2" fillId="11" borderId="2" xfId="2" applyFill="1" applyBorder="1" applyAlignment="1" applyProtection="1"/>
    <xf numFmtId="165" fontId="5" fillId="11" borderId="3" xfId="0" applyNumberFormat="1" applyFont="1" applyFill="1" applyBorder="1"/>
    <xf numFmtId="0" fontId="5" fillId="11" borderId="3" xfId="0" applyFont="1" applyFill="1" applyBorder="1"/>
    <xf numFmtId="166" fontId="5" fillId="11" borderId="3" xfId="0" applyNumberFormat="1" applyFont="1" applyFill="1" applyBorder="1"/>
    <xf numFmtId="0" fontId="6" fillId="11" borderId="3" xfId="0" applyFont="1" applyFill="1" applyBorder="1"/>
    <xf numFmtId="0" fontId="3" fillId="11" borderId="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0" xfId="0" applyFill="1"/>
    <xf numFmtId="168" fontId="1" fillId="2" borderId="0" xfId="0" applyNumberFormat="1" applyFont="1" applyFill="1" applyAlignment="1">
      <alignment horizontal="center" vertical="top" wrapText="1"/>
    </xf>
    <xf numFmtId="168" fontId="5" fillId="2" borderId="3" xfId="0" applyNumberFormat="1" applyFont="1" applyFill="1" applyBorder="1"/>
    <xf numFmtId="168" fontId="5" fillId="11" borderId="3" xfId="0" applyNumberFormat="1" applyFont="1" applyFill="1" applyBorder="1"/>
    <xf numFmtId="168" fontId="0" fillId="2" borderId="0" xfId="0" applyNumberFormat="1" applyFill="1"/>
    <xf numFmtId="168" fontId="0" fillId="5" borderId="0" xfId="0" applyNumberFormat="1" applyFill="1"/>
    <xf numFmtId="0" fontId="0" fillId="0" borderId="2" xfId="0" applyBorder="1" applyAlignment="1">
      <alignment horizontal="center"/>
    </xf>
    <xf numFmtId="0" fontId="7" fillId="12" borderId="0" xfId="0" applyFont="1" applyFill="1"/>
    <xf numFmtId="4" fontId="7" fillId="12" borderId="0" xfId="0" applyNumberFormat="1" applyFont="1" applyFill="1"/>
    <xf numFmtId="0" fontId="8" fillId="0" borderId="2" xfId="0" applyFont="1" applyBorder="1"/>
    <xf numFmtId="0" fontId="8" fillId="0" borderId="4" xfId="0" applyFont="1" applyBorder="1"/>
    <xf numFmtId="0" fontId="8" fillId="13" borderId="4" xfId="0" applyFont="1" applyFill="1" applyBorder="1"/>
  </cellXfs>
  <cellStyles count="3">
    <cellStyle name="Comma" xfId="1" builtinId="3"/>
    <cellStyle name="Hyperlink" xfId="2" builtinId="8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sih-sm.bps.go.id/app/assignment/fd68e454-ba45-4b85-8205-f3bf777ded24/7bd8ef35-91a8-4cf4-980e-ddc8fd99be8e" TargetMode="External"/><Relationship Id="rId13" Type="http://schemas.openxmlformats.org/officeDocument/2006/relationships/hyperlink" Target="https://fasih-sm.bps.go.id/app/assignment/fd68e454-ba45-4b85-8205-f3bf777ded24/f90b8658-dad1-4df3-ad81-40a21c44efda" TargetMode="External"/><Relationship Id="rId18" Type="http://schemas.openxmlformats.org/officeDocument/2006/relationships/hyperlink" Target="https://fasih-sm.bps.go.id/app/assignment/fd68e454-ba45-4b85-8205-f3bf777ded24/e49eaae0-a0f7-491e-9eb9-fe5b722de899" TargetMode="External"/><Relationship Id="rId26" Type="http://schemas.openxmlformats.org/officeDocument/2006/relationships/hyperlink" Target="https://fasih-sm.bps.go.id/app/assignment/fd68e454-ba45-4b85-8205-f3bf777ded24/1c81649e-76f1-4d08-9c74-1770cf1992b7" TargetMode="External"/><Relationship Id="rId3" Type="http://schemas.openxmlformats.org/officeDocument/2006/relationships/hyperlink" Target="https://fasih-sm.bps.go.id/app/assignment/fd68e454-ba45-4b85-8205-f3bf777ded24/429f083d-249d-4bbb-9938-112fae787ff0" TargetMode="External"/><Relationship Id="rId21" Type="http://schemas.openxmlformats.org/officeDocument/2006/relationships/hyperlink" Target="https://fasih-sm.bps.go.id/app/assignment/fd68e454-ba45-4b85-8205-f3bf777ded24/b0048601-5c0b-4e7d-9fac-c7ed6bcb9f7f" TargetMode="External"/><Relationship Id="rId7" Type="http://schemas.openxmlformats.org/officeDocument/2006/relationships/hyperlink" Target="https://fasih-sm.bps.go.id/app/assignment/fd68e454-ba45-4b85-8205-f3bf777ded24/9a155fe3-576b-4664-8c60-d31c76544335" TargetMode="External"/><Relationship Id="rId12" Type="http://schemas.openxmlformats.org/officeDocument/2006/relationships/hyperlink" Target="https://fasih-sm.bps.go.id/app/assignment/fd68e454-ba45-4b85-8205-f3bf777ded24/b673e6fc-8bcb-42b5-8380-bbc83a5485bd" TargetMode="External"/><Relationship Id="rId17" Type="http://schemas.openxmlformats.org/officeDocument/2006/relationships/hyperlink" Target="https://fasih-sm.bps.go.id/app/assignment/fd68e454-ba45-4b85-8205-f3bf777ded24/4d9694e8-bed0-4cba-9931-fc166df4a888" TargetMode="External"/><Relationship Id="rId25" Type="http://schemas.openxmlformats.org/officeDocument/2006/relationships/hyperlink" Target="https://fasih-sm.bps.go.id/app/assignment/fd68e454-ba45-4b85-8205-f3bf777ded24/4484e03c-c3b6-4e4f-bb36-4a0a93beff14" TargetMode="External"/><Relationship Id="rId2" Type="http://schemas.openxmlformats.org/officeDocument/2006/relationships/hyperlink" Target="https://fasih-sm.bps.go.id/app/assignment/fd68e454-ba45-4b85-8205-f3bf777ded24/2ca870c0-f441-4882-8724-764250cb2673" TargetMode="External"/><Relationship Id="rId16" Type="http://schemas.openxmlformats.org/officeDocument/2006/relationships/hyperlink" Target="https://fasih-sm.bps.go.id/app/assignment/fd68e454-ba45-4b85-8205-f3bf777ded24/571a89d4-6b09-4e73-8557-60b18b88895a" TargetMode="External"/><Relationship Id="rId20" Type="http://schemas.openxmlformats.org/officeDocument/2006/relationships/hyperlink" Target="https://fasih-sm.bps.go.id/app/assignment/fd68e454-ba45-4b85-8205-f3bf777ded24/8cb09bc1-2fa3-4fb6-ab2b-3862de37735d" TargetMode="External"/><Relationship Id="rId29" Type="http://schemas.openxmlformats.org/officeDocument/2006/relationships/hyperlink" Target="https://fasih-sm.bps.go.id/app/assignment/fd68e454-ba45-4b85-8205-f3bf777ded24/a10ac925-640b-4235-b98c-8d43af37fdeb" TargetMode="External"/><Relationship Id="rId1" Type="http://schemas.openxmlformats.org/officeDocument/2006/relationships/hyperlink" Target="https://fasih-sm.bps.go.id/app/assignment/fd68e454-ba45-4b85-8205-f3bf777ded24/fe15dabc-3b78-472d-9f39-f6873e30966d" TargetMode="External"/><Relationship Id="rId6" Type="http://schemas.openxmlformats.org/officeDocument/2006/relationships/hyperlink" Target="https://fasih-sm.bps.go.id/app/assignment/fd68e454-ba45-4b85-8205-f3bf777ded24/2f05a23a-6a61-4416-ab8b-a1ad76cd44b1" TargetMode="External"/><Relationship Id="rId11" Type="http://schemas.openxmlformats.org/officeDocument/2006/relationships/hyperlink" Target="https://fasih-sm.bps.go.id/app/assignment/fd68e454-ba45-4b85-8205-f3bf777ded24/020aacdf-512a-49d9-8bbb-57bc342c47e9" TargetMode="External"/><Relationship Id="rId24" Type="http://schemas.openxmlformats.org/officeDocument/2006/relationships/hyperlink" Target="https://fasih-sm.bps.go.id/app/assignment/fd68e454-ba45-4b85-8205-f3bf777ded24/23a69bf4-1d97-4b3d-b12a-d6b23e6f4f63" TargetMode="External"/><Relationship Id="rId5" Type="http://schemas.openxmlformats.org/officeDocument/2006/relationships/hyperlink" Target="https://fasih-sm.bps.go.id/app/assignment/fd68e454-ba45-4b85-8205-f3bf777ded24/7e72c18b-8bc1-416d-9a7c-ebf30e303492" TargetMode="External"/><Relationship Id="rId15" Type="http://schemas.openxmlformats.org/officeDocument/2006/relationships/hyperlink" Target="https://fasih-sm.bps.go.id/app/assignment/fd68e454-ba45-4b85-8205-f3bf777ded24/2ceebfa6-ba3d-4aab-b718-68eb49c22723" TargetMode="External"/><Relationship Id="rId23" Type="http://schemas.openxmlformats.org/officeDocument/2006/relationships/hyperlink" Target="https://fasih-sm.bps.go.id/app/assignment/fd68e454-ba45-4b85-8205-f3bf777ded24/5f155b26-24ec-49dc-8545-838c26861aea" TargetMode="External"/><Relationship Id="rId28" Type="http://schemas.openxmlformats.org/officeDocument/2006/relationships/hyperlink" Target="https://fasih-sm.bps.go.id/app/assignment/fd68e454-ba45-4b85-8205-f3bf777ded24/9b3277c8-b2ec-4e3f-a48b-a532f2dbcbf7" TargetMode="External"/><Relationship Id="rId10" Type="http://schemas.openxmlformats.org/officeDocument/2006/relationships/hyperlink" Target="https://fasih-sm.bps.go.id/app/assignment/fd68e454-ba45-4b85-8205-f3bf777ded24/1e877e32-15e7-4e91-a49b-e794ed734f0b" TargetMode="External"/><Relationship Id="rId19" Type="http://schemas.openxmlformats.org/officeDocument/2006/relationships/hyperlink" Target="https://fasih-sm.bps.go.id/app/assignment/fd68e454-ba45-4b85-8205-f3bf777ded24/9ba4abee-d1e3-45a4-b63b-1af6e9702013" TargetMode="External"/><Relationship Id="rId4" Type="http://schemas.openxmlformats.org/officeDocument/2006/relationships/hyperlink" Target="https://fasih-sm.bps.go.id/app/assignment/fd68e454-ba45-4b85-8205-f3bf777ded24/e958c7e0-2bb3-43ff-8635-14b646c7426e" TargetMode="External"/><Relationship Id="rId9" Type="http://schemas.openxmlformats.org/officeDocument/2006/relationships/hyperlink" Target="https://fasih-sm.bps.go.id/app/assignment/fd68e454-ba45-4b85-8205-f3bf777ded24/9a96392e-8b2c-447c-a658-99d605040a74" TargetMode="External"/><Relationship Id="rId14" Type="http://schemas.openxmlformats.org/officeDocument/2006/relationships/hyperlink" Target="https://fasih-sm.bps.go.id/app/assignment/fd68e454-ba45-4b85-8205-f3bf777ded24/613e04da-647d-4627-8044-a5dcc9f0fc5d" TargetMode="External"/><Relationship Id="rId22" Type="http://schemas.openxmlformats.org/officeDocument/2006/relationships/hyperlink" Target="https://fasih-sm.bps.go.id/app/assignment/fd68e454-ba45-4b85-8205-f3bf777ded24/55f9d12f-c645-4a31-9b52-715be0a876df" TargetMode="External"/><Relationship Id="rId27" Type="http://schemas.openxmlformats.org/officeDocument/2006/relationships/hyperlink" Target="https://fasih-sm.bps.go.id/app/assignment/fd68e454-ba45-4b85-8205-f3bf777ded24/ce4f7b58-309a-42db-a2b2-d560fedfdfa8" TargetMode="External"/><Relationship Id="rId30" Type="http://schemas.openxmlformats.org/officeDocument/2006/relationships/hyperlink" Target="https://fasih-sm.bps.go.id/app/assignment/fd68e454-ba45-4b85-8205-f3bf777ded24/9f62b415-5b9a-478a-9484-00d6744992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74"/>
  <sheetViews>
    <sheetView tabSelected="1" topLeftCell="BI1" workbookViewId="0">
      <selection activeCell="BU31" sqref="BU31"/>
    </sheetView>
  </sheetViews>
  <sheetFormatPr defaultColWidth="9" defaultRowHeight="13.5" customHeight="1"/>
  <cols>
    <col min="5" max="5" width="25.75" customWidth="1"/>
    <col min="8" max="10" width="22.25"/>
    <col min="11" max="11" width="23.5"/>
    <col min="12" max="12" width="21.125"/>
    <col min="13" max="14" width="23.5"/>
    <col min="15" max="15" width="21.125"/>
    <col min="16" max="16" width="23.5"/>
    <col min="17" max="17" width="25"/>
    <col min="18" max="18" width="23.5"/>
    <col min="21" max="21" width="11.75"/>
    <col min="22" max="22" width="14.125"/>
    <col min="26" max="26" width="5.375" style="14" customWidth="1"/>
    <col min="27" max="28" width="15.125" style="14" customWidth="1"/>
    <col min="29" max="29" width="15.125" style="41" customWidth="1"/>
    <col min="30" max="31" width="15.125" style="14" customWidth="1"/>
    <col min="32" max="32" width="17.625" style="14" customWidth="1"/>
    <col min="33" max="37" width="15.125" style="14" customWidth="1"/>
    <col min="38" max="38" width="17" style="14" bestFit="1" customWidth="1"/>
    <col min="39" max="56" width="15.125" style="14" customWidth="1"/>
    <col min="57" max="57" width="5.375" style="14" customWidth="1"/>
    <col min="59" max="59" width="13.875" bestFit="1" customWidth="1"/>
    <col min="60" max="60" width="12" bestFit="1" customWidth="1"/>
    <col min="73" max="73" width="10.75" customWidth="1"/>
    <col min="74" max="74" width="11.625" customWidth="1"/>
  </cols>
  <sheetData>
    <row r="1" spans="1:74" s="1" customFormat="1" ht="73.90000000000000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1" t="s">
        <v>24</v>
      </c>
      <c r="Z1" s="12"/>
      <c r="AA1" s="15" t="s">
        <v>25</v>
      </c>
      <c r="AB1" s="15"/>
      <c r="AC1" s="37" t="s">
        <v>26</v>
      </c>
      <c r="AD1" s="17" t="s">
        <v>27</v>
      </c>
      <c r="AE1" s="15" t="s">
        <v>8</v>
      </c>
      <c r="AF1" s="16" t="s">
        <v>26</v>
      </c>
      <c r="AG1" s="17" t="s">
        <v>28</v>
      </c>
      <c r="AH1" s="15" t="s">
        <v>29</v>
      </c>
      <c r="AI1" s="16" t="s">
        <v>26</v>
      </c>
      <c r="AJ1" s="17" t="s">
        <v>30</v>
      </c>
      <c r="AK1" s="15" t="s">
        <v>10</v>
      </c>
      <c r="AL1" s="16" t="s">
        <v>26</v>
      </c>
      <c r="AM1" s="17" t="s">
        <v>31</v>
      </c>
      <c r="AN1" s="15" t="s">
        <v>32</v>
      </c>
      <c r="AO1" s="16" t="s">
        <v>26</v>
      </c>
      <c r="AP1" s="17" t="s">
        <v>33</v>
      </c>
      <c r="AQ1" s="15" t="s">
        <v>34</v>
      </c>
      <c r="AR1" s="16" t="s">
        <v>26</v>
      </c>
      <c r="AS1" s="17" t="s">
        <v>35</v>
      </c>
      <c r="AT1" s="15" t="s">
        <v>36</v>
      </c>
      <c r="AU1" s="16" t="s">
        <v>26</v>
      </c>
      <c r="AV1" s="17" t="s">
        <v>37</v>
      </c>
      <c r="AW1" s="18" t="s">
        <v>38</v>
      </c>
      <c r="AX1" s="18" t="s">
        <v>39</v>
      </c>
      <c r="AY1" s="18" t="s">
        <v>40</v>
      </c>
      <c r="AZ1" s="18" t="s">
        <v>41</v>
      </c>
      <c r="BA1" s="26" t="s">
        <v>42</v>
      </c>
      <c r="BB1" s="15" t="s">
        <v>43</v>
      </c>
      <c r="BC1" s="15" t="s">
        <v>44</v>
      </c>
      <c r="BD1" s="15" t="s">
        <v>45</v>
      </c>
      <c r="BE1" s="12"/>
      <c r="BF1" s="7" t="s">
        <v>46</v>
      </c>
      <c r="BG1" s="8" t="s">
        <v>47</v>
      </c>
      <c r="BH1" s="8" t="s">
        <v>48</v>
      </c>
      <c r="BI1" s="8" t="s">
        <v>49</v>
      </c>
      <c r="BJ1" s="8" t="s">
        <v>50</v>
      </c>
      <c r="BK1" s="8" t="s">
        <v>51</v>
      </c>
      <c r="BL1" s="8" t="s">
        <v>52</v>
      </c>
      <c r="BM1" s="8" t="s">
        <v>53</v>
      </c>
      <c r="BN1" s="9" t="s">
        <v>54</v>
      </c>
      <c r="BO1" s="9" t="s">
        <v>55</v>
      </c>
      <c r="BP1" s="9" t="s">
        <v>56</v>
      </c>
      <c r="BQ1" s="9" t="s">
        <v>57</v>
      </c>
      <c r="BR1" s="9" t="s">
        <v>58</v>
      </c>
      <c r="BS1" s="9" t="s">
        <v>59</v>
      </c>
      <c r="BT1" s="9" t="s">
        <v>60</v>
      </c>
      <c r="BU1" s="3" t="s">
        <v>61</v>
      </c>
      <c r="BV1" s="3" t="s">
        <v>62</v>
      </c>
    </row>
    <row r="2" spans="1:74" ht="15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>
        <v>25</v>
      </c>
      <c r="H2" s="5">
        <v>212500000</v>
      </c>
      <c r="I2" s="5">
        <v>0</v>
      </c>
      <c r="J2" s="5">
        <v>0</v>
      </c>
      <c r="K2" s="5">
        <v>40000000000</v>
      </c>
      <c r="L2" s="5">
        <v>0</v>
      </c>
      <c r="M2" s="5">
        <v>40212500000</v>
      </c>
      <c r="N2" s="5">
        <v>70000000000</v>
      </c>
      <c r="O2" s="5">
        <v>0</v>
      </c>
      <c r="P2" s="5">
        <v>30000000000</v>
      </c>
      <c r="Q2" s="5">
        <v>150000000000</v>
      </c>
      <c r="R2" s="5">
        <v>70000000000</v>
      </c>
      <c r="S2" s="4" t="s">
        <v>69</v>
      </c>
      <c r="T2" s="4" t="s">
        <v>70</v>
      </c>
      <c r="U2" s="4">
        <v>0.42857099999999998</v>
      </c>
      <c r="V2" s="4">
        <v>2800000000</v>
      </c>
      <c r="W2" s="4">
        <v>1</v>
      </c>
      <c r="X2" s="6" t="s">
        <v>71</v>
      </c>
      <c r="Y2" s="4" t="s">
        <v>72</v>
      </c>
      <c r="Z2" s="13"/>
      <c r="AA2" s="19">
        <f>(H2/12)/G2</f>
        <v>708333.33333333326</v>
      </c>
      <c r="AB2" s="19" t="str">
        <f>IF(OR(AA2&lt;2317601,AA2&gt;(5*2317601)),"perbaiki","ok")</f>
        <v>perbaiki</v>
      </c>
      <c r="AC2" s="38">
        <v>1800000</v>
      </c>
      <c r="AD2" s="21">
        <f>(AA2+AC2)</f>
        <v>2508333.333333333</v>
      </c>
      <c r="AE2" s="19">
        <f>I2</f>
        <v>0</v>
      </c>
      <c r="AF2" s="38"/>
      <c r="AG2" s="21">
        <f>AF2+AE2</f>
        <v>0</v>
      </c>
      <c r="AH2" s="19">
        <f>J2</f>
        <v>0</v>
      </c>
      <c r="AI2" s="20"/>
      <c r="AJ2" s="21">
        <f>AI2+AH2</f>
        <v>0</v>
      </c>
      <c r="AK2" s="19">
        <f>K2</f>
        <v>40000000000</v>
      </c>
      <c r="AL2" s="44">
        <v>-800000000</v>
      </c>
      <c r="AM2" s="21">
        <f>AL2+AK2</f>
        <v>39200000000</v>
      </c>
      <c r="AN2" s="19">
        <f>L2</f>
        <v>0</v>
      </c>
      <c r="AO2" s="20"/>
      <c r="AP2" s="21">
        <f>AO2+AN2</f>
        <v>0</v>
      </c>
      <c r="AQ2" s="19">
        <f>N2</f>
        <v>70000000000</v>
      </c>
      <c r="AR2" s="20"/>
      <c r="AS2" s="21">
        <f>AR2+AQ2</f>
        <v>70000000000</v>
      </c>
      <c r="AT2" s="19">
        <f>O2</f>
        <v>0</v>
      </c>
      <c r="AU2" s="20"/>
      <c r="AV2" s="21">
        <f>AU2+AT2</f>
        <v>0</v>
      </c>
      <c r="AW2" s="19">
        <f>AS2-AJ2</f>
        <v>70000000000</v>
      </c>
      <c r="AX2" s="19">
        <f>AG2+AM2</f>
        <v>39200000000</v>
      </c>
      <c r="AY2" s="19">
        <f>AW2-AX2</f>
        <v>30800000000</v>
      </c>
      <c r="AZ2" s="22">
        <f>AY2/AW2</f>
        <v>0.44</v>
      </c>
      <c r="BA2" s="22" t="str">
        <f>IF(AND(VALUE(AZ2)&gt;=(BB2-0.03), VALUE(AZ2)&lt;=(BC2+0.03)), "dalam range", "luar range")</f>
        <v>dalam range</v>
      </c>
      <c r="BB2" s="27">
        <v>0.44</v>
      </c>
      <c r="BC2" s="27">
        <v>0.56999999999999995</v>
      </c>
      <c r="BD2" s="23" t="str">
        <f>IF(AND(VALUE(U2)&gt;=(BB2-0.03), VALUE(U2)&lt;=(BC2+0.03)), "#0", "Adjustment")</f>
        <v>#0</v>
      </c>
      <c r="BE2" s="13"/>
      <c r="BF2" s="45">
        <v>72201</v>
      </c>
      <c r="BG2" s="25">
        <f>IF(AC2="","",IF(D2="2026",((AD2*G2)),AD2*G2*12))</f>
        <v>752500000</v>
      </c>
      <c r="BH2" s="4" t="str">
        <f>IF(AF2="","",IF(D2="2026",(AG2/12),AG2))</f>
        <v/>
      </c>
      <c r="BI2" s="4" t="str">
        <f>IF(AI2="","",IF(D2="2026",(AJ2/12),AJ2))</f>
        <v/>
      </c>
      <c r="BJ2" s="4">
        <f>IF(AL2="","",IF(D2="2026",(AM2/12),AM2))</f>
        <v>39200000000</v>
      </c>
      <c r="BK2" s="4" t="str">
        <f>IF(AO2="","",IF(D2="2026",(AP2/12),AP2))</f>
        <v/>
      </c>
      <c r="BL2" s="4" t="str">
        <f>IF(AR2="","",IF(D2="2026",(AS2/12),AS2))</f>
        <v/>
      </c>
      <c r="BM2" s="4" t="str">
        <f>IF(AU2="","",IF(D2="2026",(AV2/12),AV2))</f>
        <v/>
      </c>
      <c r="BN2" s="42" t="str">
        <f>IF(BG2="","#0","#3")</f>
        <v>#3</v>
      </c>
      <c r="BO2" s="42" t="str">
        <f>IF(BH2="","#0","#3")</f>
        <v>#0</v>
      </c>
      <c r="BP2" s="42" t="str">
        <f>IF(BI2="","#0","#3")</f>
        <v>#0</v>
      </c>
      <c r="BQ2" s="42" t="str">
        <f>IF(BJ2="","#0","#3")</f>
        <v>#3</v>
      </c>
      <c r="BR2" s="42" t="str">
        <f>IF(BK2="","#0","#3")</f>
        <v>#0</v>
      </c>
      <c r="BS2" s="42" t="str">
        <f>IF(BL2="","#0","#3")</f>
        <v>#0</v>
      </c>
      <c r="BT2" s="42" t="str">
        <f>IF(BM2="","#0","#3")</f>
        <v>#0</v>
      </c>
      <c r="BU2" s="10" t="b">
        <v>1</v>
      </c>
      <c r="BV2" s="10" t="b">
        <v>0</v>
      </c>
    </row>
    <row r="3" spans="1:74" ht="15">
      <c r="A3" s="4" t="s">
        <v>63</v>
      </c>
      <c r="B3" s="4" t="s">
        <v>64</v>
      </c>
      <c r="C3" s="4" t="s">
        <v>73</v>
      </c>
      <c r="D3" s="4" t="s">
        <v>74</v>
      </c>
      <c r="E3" s="4" t="s">
        <v>75</v>
      </c>
      <c r="F3" s="4" t="s">
        <v>76</v>
      </c>
      <c r="G3" s="4">
        <v>26</v>
      </c>
      <c r="H3" s="5">
        <v>4997828866</v>
      </c>
      <c r="I3" s="5">
        <v>0</v>
      </c>
      <c r="J3" s="5">
        <v>0</v>
      </c>
      <c r="K3" s="5">
        <v>17249027420</v>
      </c>
      <c r="L3" s="5">
        <v>288564229</v>
      </c>
      <c r="M3" s="5">
        <v>22535420515</v>
      </c>
      <c r="N3" s="5">
        <v>510579334150</v>
      </c>
      <c r="O3" s="5">
        <v>1676998276</v>
      </c>
      <c r="P3" s="5">
        <v>493330306730</v>
      </c>
      <c r="Q3" s="5">
        <v>14663963653</v>
      </c>
      <c r="R3" s="5">
        <v>510579334150</v>
      </c>
      <c r="S3" s="4" t="s">
        <v>69</v>
      </c>
      <c r="T3" s="4"/>
      <c r="U3" s="4">
        <v>0.96621699999999999</v>
      </c>
      <c r="V3" s="4">
        <v>19637666698.0769</v>
      </c>
      <c r="W3" s="4">
        <v>1</v>
      </c>
      <c r="X3" s="6" t="s">
        <v>77</v>
      </c>
      <c r="Y3" s="4"/>
      <c r="Z3" s="13"/>
      <c r="AA3" s="19">
        <f>(H3/12)/G3</f>
        <v>16018682.262820512</v>
      </c>
      <c r="AB3" s="19" t="str">
        <f>IF(OR(AA3&lt;2317601,AA3&gt;(5*2317601)),"perbaiki","ok")</f>
        <v>perbaiki</v>
      </c>
      <c r="AC3" s="38">
        <v>-10000000</v>
      </c>
      <c r="AD3" s="21">
        <f t="shared" ref="AD3:AD31" si="0">(AA3+AC3)</f>
        <v>6018682.2628205121</v>
      </c>
      <c r="AE3" s="19">
        <f>I3</f>
        <v>0</v>
      </c>
      <c r="AF3" s="38"/>
      <c r="AG3" s="21">
        <f>AF3+AE3</f>
        <v>0</v>
      </c>
      <c r="AH3" s="19">
        <f>J3</f>
        <v>0</v>
      </c>
      <c r="AI3" s="20"/>
      <c r="AJ3" s="21">
        <f>AI3+AH3</f>
        <v>0</v>
      </c>
      <c r="AK3" s="19">
        <f>K3</f>
        <v>17249027420</v>
      </c>
      <c r="AL3" s="44">
        <v>202300086264.5</v>
      </c>
      <c r="AM3" s="21">
        <f>AL3+AK3</f>
        <v>219549113684.5</v>
      </c>
      <c r="AN3" s="19">
        <f>L3</f>
        <v>288564229</v>
      </c>
      <c r="AO3" s="20"/>
      <c r="AP3" s="21">
        <f>AO3+AN3</f>
        <v>288564229</v>
      </c>
      <c r="AQ3" s="19">
        <f>N3</f>
        <v>510579334150</v>
      </c>
      <c r="AR3" s="20"/>
      <c r="AS3" s="21">
        <f>AR3+AQ3</f>
        <v>510579334150</v>
      </c>
      <c r="AT3" s="19">
        <f>O3</f>
        <v>1676998276</v>
      </c>
      <c r="AU3" s="20"/>
      <c r="AV3" s="21">
        <f>AU3+AT3</f>
        <v>1676998276</v>
      </c>
      <c r="AW3" s="19">
        <f>AS3-AJ3</f>
        <v>510579334150</v>
      </c>
      <c r="AX3" s="19">
        <f>AG3+AM3</f>
        <v>219549113684.5</v>
      </c>
      <c r="AY3" s="19">
        <f>AW3-AX3</f>
        <v>291030220465.5</v>
      </c>
      <c r="AZ3" s="22">
        <f>AY3/AW3</f>
        <v>0.56999999999999995</v>
      </c>
      <c r="BA3" s="22" t="str">
        <f>IF(AND(VALUE(AZ3)&gt;=(BB3-0.03), VALUE(AZ3)&lt;=(BC3+0.03)), "dalam range", "luar range")</f>
        <v>dalam range</v>
      </c>
      <c r="BB3" s="27">
        <v>0.44</v>
      </c>
      <c r="BC3" s="27">
        <v>0.56999999999999995</v>
      </c>
      <c r="BD3" s="23" t="str">
        <f>IF(AND(VALUE(U3)&gt;=(BB3-0.03), VALUE(U3)&lt;=(BC3+0.03)), "#0", "Adjustment")</f>
        <v>Adjustment</v>
      </c>
      <c r="BE3" s="13"/>
      <c r="BF3" s="46" t="s">
        <v>78</v>
      </c>
      <c r="BG3" s="25">
        <f t="shared" ref="BG3:BG31" si="1">IF(AC3="","",IF(D3="2026",((AD3*G3)),AD3*G3*12))</f>
        <v>1877828865.9999998</v>
      </c>
      <c r="BH3" s="4" t="str">
        <f t="shared" ref="BH3:BI5" si="2">IF(AF3="","",IF(D3="2026",(AG3/12),AG3))</f>
        <v/>
      </c>
      <c r="BI3" s="4" t="str">
        <f t="shared" ref="BI3:BI31" si="3">IF(AI3="","",IF(D3="2026",(AJ3/12),AJ3))</f>
        <v/>
      </c>
      <c r="BJ3" s="4">
        <f t="shared" ref="BJ3:BJ31" si="4">IF(AL3="","",IF(D3="2026",(AM3/12),AM3))</f>
        <v>219549113684.5</v>
      </c>
      <c r="BK3" s="4" t="str">
        <f t="shared" ref="BK3:BK31" si="5">IF(AO3="","",IF(D3="2026",(AP3/12),AP3))</f>
        <v/>
      </c>
      <c r="BL3" s="4" t="str">
        <f t="shared" ref="BL3:BL31" si="6">IF(AR3="","",IF(D3="2026",(AS3/12),AS3))</f>
        <v/>
      </c>
      <c r="BM3" s="4" t="str">
        <f t="shared" ref="BM3:BM31" si="7">IF(AU3="","",IF(D3="2026",(AV3/12),AV3))</f>
        <v/>
      </c>
      <c r="BN3" s="42" t="str">
        <f t="shared" ref="BN3:BN31" si="8">IF(BG3="","#0","#3")</f>
        <v>#3</v>
      </c>
      <c r="BO3" s="42" t="str">
        <f t="shared" ref="BO3:BO31" si="9">IF(BH3="","#0","#3")</f>
        <v>#0</v>
      </c>
      <c r="BP3" s="42" t="str">
        <f t="shared" ref="BP3:BP31" si="10">IF(BI3="","#0","#3")</f>
        <v>#0</v>
      </c>
      <c r="BQ3" s="42" t="str">
        <f t="shared" ref="BQ3:BQ31" si="11">IF(BJ3="","#0","#3")</f>
        <v>#3</v>
      </c>
      <c r="BR3" s="42" t="str">
        <f t="shared" ref="BR3:BR31" si="12">IF(BK3="","#0","#3")</f>
        <v>#0</v>
      </c>
      <c r="BS3" s="42" t="str">
        <f t="shared" ref="BS3:BS31" si="13">IF(BL3="","#0","#3")</f>
        <v>#0</v>
      </c>
      <c r="BT3" s="42" t="str">
        <f t="shared" ref="BT3:BT31" si="14">IF(BM3="","#0","#3")</f>
        <v>#0</v>
      </c>
      <c r="BU3" s="10" t="b">
        <v>1</v>
      </c>
      <c r="BV3" s="10" t="b">
        <v>0</v>
      </c>
    </row>
    <row r="4" spans="1:74" ht="15">
      <c r="A4" s="4" t="s">
        <v>79</v>
      </c>
      <c r="B4" s="4" t="s">
        <v>64</v>
      </c>
      <c r="C4" s="4" t="s">
        <v>80</v>
      </c>
      <c r="D4" s="4" t="s">
        <v>81</v>
      </c>
      <c r="E4" s="4" t="s">
        <v>82</v>
      </c>
      <c r="F4" s="4" t="s">
        <v>83</v>
      </c>
      <c r="G4" s="4">
        <v>4</v>
      </c>
      <c r="H4" s="5">
        <v>257000000</v>
      </c>
      <c r="I4" s="5">
        <v>0</v>
      </c>
      <c r="J4" s="5">
        <v>0</v>
      </c>
      <c r="K4" s="5">
        <v>36000000</v>
      </c>
      <c r="L4" s="5">
        <v>12000000</v>
      </c>
      <c r="M4" s="5">
        <v>305000000</v>
      </c>
      <c r="N4" s="5">
        <v>360000000000</v>
      </c>
      <c r="O4" s="5">
        <v>0</v>
      </c>
      <c r="P4" s="5">
        <v>359964000000</v>
      </c>
      <c r="Q4" s="5">
        <v>8000000</v>
      </c>
      <c r="R4" s="5">
        <v>360000000000</v>
      </c>
      <c r="S4" s="4" t="s">
        <v>69</v>
      </c>
      <c r="T4" s="4"/>
      <c r="U4" s="4">
        <v>0.99990000000000001</v>
      </c>
      <c r="V4" s="4">
        <v>90000000000</v>
      </c>
      <c r="W4" s="4">
        <v>1</v>
      </c>
      <c r="X4" s="6" t="s">
        <v>84</v>
      </c>
      <c r="Y4" s="4" t="s">
        <v>85</v>
      </c>
      <c r="Z4" s="13"/>
      <c r="AA4" s="19">
        <f>(H4/12)/G4</f>
        <v>5354166.666666667</v>
      </c>
      <c r="AB4" s="19" t="str">
        <f>IF(OR(AA4&lt;2317601,AA4&gt;(5*2317601)),"perbaiki","ok")</f>
        <v>ok</v>
      </c>
      <c r="AC4" s="38"/>
      <c r="AD4" s="21">
        <f t="shared" si="0"/>
        <v>5354166.666666667</v>
      </c>
      <c r="AE4" s="19">
        <f>I4</f>
        <v>0</v>
      </c>
      <c r="AF4" s="44">
        <v>154764000000</v>
      </c>
      <c r="AG4" s="21">
        <f>AF4+AE4</f>
        <v>154764000000</v>
      </c>
      <c r="AH4" s="19">
        <f>J4</f>
        <v>0</v>
      </c>
      <c r="AI4" s="20"/>
      <c r="AJ4" s="21">
        <f>AI4+AH4</f>
        <v>0</v>
      </c>
      <c r="AK4" s="19">
        <f>K4</f>
        <v>36000000</v>
      </c>
      <c r="AL4" s="20"/>
      <c r="AM4" s="21">
        <f>AL4+AK4</f>
        <v>36000000</v>
      </c>
      <c r="AN4" s="19">
        <f>L4</f>
        <v>12000000</v>
      </c>
      <c r="AO4" s="20"/>
      <c r="AP4" s="21">
        <f>AO4+AN4</f>
        <v>12000000</v>
      </c>
      <c r="AQ4" s="19">
        <f>N4</f>
        <v>360000000000</v>
      </c>
      <c r="AR4" s="20"/>
      <c r="AS4" s="21">
        <f>AR4+AQ4</f>
        <v>360000000000</v>
      </c>
      <c r="AT4" s="19">
        <f>O4</f>
        <v>0</v>
      </c>
      <c r="AU4" s="20"/>
      <c r="AV4" s="21">
        <f>AU4+AT4</f>
        <v>0</v>
      </c>
      <c r="AW4" s="19">
        <f>AS4-AJ4</f>
        <v>360000000000</v>
      </c>
      <c r="AX4" s="19">
        <f>AG4+AM4</f>
        <v>154800000000</v>
      </c>
      <c r="AY4" s="19">
        <f>AW4-AX4</f>
        <v>205200000000</v>
      </c>
      <c r="AZ4" s="22">
        <f>AY4/AW4</f>
        <v>0.56999999999999995</v>
      </c>
      <c r="BA4" s="22" t="str">
        <f>IF(AND(VALUE(AZ4)&gt;=(BB4-0.03), VALUE(AZ4)&lt;=(BC4+0.03)), "dalam range", "luar range")</f>
        <v>dalam range</v>
      </c>
      <c r="BB4" s="27">
        <v>0.44</v>
      </c>
      <c r="BC4" s="27">
        <v>0.56999999999999995</v>
      </c>
      <c r="BD4" s="23" t="str">
        <f>IF(AND(VALUE(U4)&gt;=(BB4-0.03), VALUE(U4)&lt;=(BC4+0.03)), "#0", "Adjustment")</f>
        <v>Adjustment</v>
      </c>
      <c r="BE4" s="13"/>
      <c r="BF4" s="46" t="s">
        <v>78</v>
      </c>
      <c r="BG4" s="25" t="str">
        <f t="shared" si="1"/>
        <v/>
      </c>
      <c r="BH4" s="4">
        <f t="shared" si="2"/>
        <v>154764000000</v>
      </c>
      <c r="BI4" s="4" t="str">
        <f t="shared" si="3"/>
        <v/>
      </c>
      <c r="BJ4" s="4" t="str">
        <f t="shared" si="4"/>
        <v/>
      </c>
      <c r="BK4" s="4" t="str">
        <f t="shared" si="5"/>
        <v/>
      </c>
      <c r="BL4" s="4" t="str">
        <f t="shared" si="6"/>
        <v/>
      </c>
      <c r="BM4" s="4" t="str">
        <f t="shared" si="7"/>
        <v/>
      </c>
      <c r="BN4" s="42" t="str">
        <f t="shared" si="8"/>
        <v>#0</v>
      </c>
      <c r="BO4" s="42" t="str">
        <f t="shared" si="9"/>
        <v>#3</v>
      </c>
      <c r="BP4" s="42" t="str">
        <f t="shared" si="10"/>
        <v>#0</v>
      </c>
      <c r="BQ4" s="42" t="str">
        <f t="shared" si="11"/>
        <v>#0</v>
      </c>
      <c r="BR4" s="42" t="str">
        <f t="shared" si="12"/>
        <v>#0</v>
      </c>
      <c r="BS4" s="42" t="str">
        <f t="shared" si="13"/>
        <v>#0</v>
      </c>
      <c r="BT4" s="42" t="str">
        <f t="shared" si="14"/>
        <v>#0</v>
      </c>
      <c r="BU4" s="10" t="b">
        <v>1</v>
      </c>
      <c r="BV4" s="10" t="b">
        <v>0</v>
      </c>
    </row>
    <row r="5" spans="1:74" ht="15">
      <c r="A5" s="4" t="s">
        <v>86</v>
      </c>
      <c r="B5" s="4" t="s">
        <v>64</v>
      </c>
      <c r="C5" s="4" t="s">
        <v>87</v>
      </c>
      <c r="D5" s="4" t="s">
        <v>88</v>
      </c>
      <c r="E5" s="4" t="s">
        <v>89</v>
      </c>
      <c r="F5" s="4" t="s">
        <v>90</v>
      </c>
      <c r="G5" s="4">
        <v>5</v>
      </c>
      <c r="H5" s="5">
        <v>500000</v>
      </c>
      <c r="I5" s="5">
        <v>0</v>
      </c>
      <c r="J5" s="5">
        <v>0</v>
      </c>
      <c r="K5" s="5">
        <v>127850033863</v>
      </c>
      <c r="L5" s="5">
        <v>0</v>
      </c>
      <c r="M5" s="5">
        <v>127850533863</v>
      </c>
      <c r="N5" s="5">
        <v>191232852542</v>
      </c>
      <c r="O5" s="5">
        <v>0</v>
      </c>
      <c r="P5" s="5">
        <v>63382818679</v>
      </c>
      <c r="Q5" s="5">
        <v>0</v>
      </c>
      <c r="R5" s="5">
        <v>191232852542</v>
      </c>
      <c r="S5" s="4" t="s">
        <v>69</v>
      </c>
      <c r="T5" s="4"/>
      <c r="U5" s="4">
        <v>0.33144299999999999</v>
      </c>
      <c r="V5" s="4">
        <v>38246570508.400002</v>
      </c>
      <c r="W5" s="4">
        <v>1</v>
      </c>
      <c r="X5" s="6" t="s">
        <v>91</v>
      </c>
      <c r="Y5" s="4" t="s">
        <v>92</v>
      </c>
      <c r="Z5" s="13"/>
      <c r="AA5" s="19">
        <f>(H5/12)/G5</f>
        <v>8333.3333333333321</v>
      </c>
      <c r="AB5" s="19" t="str">
        <f>IF(OR(AA5&lt;2317601,AA5&gt;(5*2317601)),"perbaiki","ok")</f>
        <v>perbaiki</v>
      </c>
      <c r="AC5" s="38">
        <v>2300000</v>
      </c>
      <c r="AD5" s="21">
        <f t="shared" si="0"/>
        <v>2308333.3333333335</v>
      </c>
      <c r="AE5" s="19">
        <f>I5</f>
        <v>0</v>
      </c>
      <c r="AF5" s="38"/>
      <c r="AG5" s="21">
        <f t="shared" ref="AG5:AG31" si="15">AF5+AE5</f>
        <v>0</v>
      </c>
      <c r="AH5" s="19">
        <f>J5</f>
        <v>0</v>
      </c>
      <c r="AI5" s="20"/>
      <c r="AJ5" s="21">
        <f>AI5+AH5</f>
        <v>0</v>
      </c>
      <c r="AK5" s="19">
        <f>K5</f>
        <v>127850033863</v>
      </c>
      <c r="AL5" s="44">
        <v>-20759636439.48</v>
      </c>
      <c r="AM5" s="21">
        <f>AL5+AK5</f>
        <v>107090397423.52</v>
      </c>
      <c r="AN5" s="19">
        <f>L5</f>
        <v>0</v>
      </c>
      <c r="AO5" s="20"/>
      <c r="AP5" s="21">
        <f>AO5+AN5</f>
        <v>0</v>
      </c>
      <c r="AQ5" s="19">
        <f>N5</f>
        <v>191232852542</v>
      </c>
      <c r="AR5" s="20"/>
      <c r="AS5" s="21">
        <f>AR5+AQ5</f>
        <v>191232852542</v>
      </c>
      <c r="AT5" s="19">
        <f>O5</f>
        <v>0</v>
      </c>
      <c r="AU5" s="20"/>
      <c r="AV5" s="21">
        <f>AU5+AT5</f>
        <v>0</v>
      </c>
      <c r="AW5" s="19">
        <f>AS5-AJ5</f>
        <v>191232852542</v>
      </c>
      <c r="AX5" s="19">
        <f>AG5+AM5</f>
        <v>107090397423.52</v>
      </c>
      <c r="AY5" s="19">
        <f>AW5-AX5</f>
        <v>84142455118.479996</v>
      </c>
      <c r="AZ5" s="22">
        <f>AY5/AW5</f>
        <v>0.44</v>
      </c>
      <c r="BA5" s="22" t="str">
        <f>IF(AND(VALUE(AZ5)&gt;=(BB5-0.03), VALUE(AZ5)&lt;=(BC5+0.03)), "dalam range", "luar range")</f>
        <v>dalam range</v>
      </c>
      <c r="BB5" s="27">
        <v>0.44</v>
      </c>
      <c r="BC5" s="27">
        <v>0.56999999999999995</v>
      </c>
      <c r="BD5" s="23" t="str">
        <f>IF(AND(VALUE(U5)&gt;=(BB5-0.03), VALUE(U5)&lt;=(BC5+0.03)), "#0", "Adjustment")</f>
        <v>Adjustment</v>
      </c>
      <c r="BE5" s="13"/>
      <c r="BF5" s="46" t="s">
        <v>78</v>
      </c>
      <c r="BG5" s="25">
        <f t="shared" si="1"/>
        <v>138500000</v>
      </c>
      <c r="BH5" s="4" t="str">
        <f t="shared" si="2"/>
        <v/>
      </c>
      <c r="BI5" s="4" t="str">
        <f t="shared" si="3"/>
        <v/>
      </c>
      <c r="BJ5" s="4">
        <f t="shared" si="4"/>
        <v>107090397423.52</v>
      </c>
      <c r="BK5" s="4" t="str">
        <f t="shared" si="5"/>
        <v/>
      </c>
      <c r="BL5" s="4" t="str">
        <f t="shared" si="6"/>
        <v/>
      </c>
      <c r="BM5" s="4" t="str">
        <f t="shared" si="7"/>
        <v/>
      </c>
      <c r="BN5" s="42" t="str">
        <f t="shared" si="8"/>
        <v>#3</v>
      </c>
      <c r="BO5" s="42" t="str">
        <f t="shared" si="9"/>
        <v>#0</v>
      </c>
      <c r="BP5" s="42" t="str">
        <f t="shared" si="10"/>
        <v>#0</v>
      </c>
      <c r="BQ5" s="42" t="str">
        <f t="shared" si="11"/>
        <v>#3</v>
      </c>
      <c r="BR5" s="42" t="str">
        <f t="shared" si="12"/>
        <v>#0</v>
      </c>
      <c r="BS5" s="42" t="str">
        <f t="shared" si="13"/>
        <v>#0</v>
      </c>
      <c r="BT5" s="42" t="str">
        <f t="shared" si="14"/>
        <v>#0</v>
      </c>
      <c r="BU5" s="10" t="b">
        <v>1</v>
      </c>
      <c r="BV5" s="10" t="b">
        <v>0</v>
      </c>
    </row>
    <row r="6" spans="1:74" ht="15">
      <c r="A6" s="4" t="s">
        <v>93</v>
      </c>
      <c r="B6" s="4" t="s">
        <v>64</v>
      </c>
      <c r="C6" s="4" t="s">
        <v>94</v>
      </c>
      <c r="D6" s="4" t="s">
        <v>95</v>
      </c>
      <c r="E6" s="4" t="s">
        <v>96</v>
      </c>
      <c r="F6" s="4" t="s">
        <v>97</v>
      </c>
      <c r="G6" s="4">
        <v>598</v>
      </c>
      <c r="H6" s="5">
        <v>40655233306</v>
      </c>
      <c r="I6" s="5">
        <v>0</v>
      </c>
      <c r="J6" s="5">
        <v>0</v>
      </c>
      <c r="K6" s="5">
        <v>0</v>
      </c>
      <c r="L6" s="5">
        <v>0</v>
      </c>
      <c r="M6" s="5">
        <v>40655233306</v>
      </c>
      <c r="N6" s="5">
        <v>375855000000</v>
      </c>
      <c r="O6" s="5">
        <v>0</v>
      </c>
      <c r="P6" s="5">
        <v>375855000000</v>
      </c>
      <c r="Q6" s="5">
        <v>90482441152</v>
      </c>
      <c r="R6" s="5">
        <v>375855000000</v>
      </c>
      <c r="S6" s="4" t="s">
        <v>69</v>
      </c>
      <c r="T6" s="4"/>
      <c r="U6" s="4">
        <v>1</v>
      </c>
      <c r="V6" s="4">
        <v>628520066.88963199</v>
      </c>
      <c r="W6" s="4">
        <v>1</v>
      </c>
      <c r="X6" s="6" t="s">
        <v>98</v>
      </c>
      <c r="Y6" s="4"/>
      <c r="Z6" s="13"/>
      <c r="AA6" s="19">
        <f>(H6/12)/G6</f>
        <v>5665444.9980490524</v>
      </c>
      <c r="AB6" s="19" t="str">
        <f>IF(OR(AA6&lt;2317601,AA6&gt;(5*2317601)),"perbaiki","ok")</f>
        <v>ok</v>
      </c>
      <c r="AC6" s="38"/>
      <c r="AD6" s="21">
        <f t="shared" si="0"/>
        <v>5665444.9980490524</v>
      </c>
      <c r="AE6" s="19">
        <f>I6</f>
        <v>0</v>
      </c>
      <c r="AF6" s="38"/>
      <c r="AG6" s="21">
        <f t="shared" si="15"/>
        <v>0</v>
      </c>
      <c r="AH6" s="19">
        <f>J6</f>
        <v>0</v>
      </c>
      <c r="AI6" s="20"/>
      <c r="AJ6" s="21">
        <f>AI6+AH6</f>
        <v>0</v>
      </c>
      <c r="AK6" s="19">
        <f>K6</f>
        <v>0</v>
      </c>
      <c r="AL6" s="44">
        <v>161617650000</v>
      </c>
      <c r="AM6" s="21">
        <f>AL6+AK6</f>
        <v>161617650000</v>
      </c>
      <c r="AN6" s="19">
        <f>L6</f>
        <v>0</v>
      </c>
      <c r="AO6" s="20"/>
      <c r="AP6" s="21">
        <f>AO6+AN6</f>
        <v>0</v>
      </c>
      <c r="AQ6" s="19">
        <f>N6</f>
        <v>375855000000</v>
      </c>
      <c r="AR6" s="20"/>
      <c r="AS6" s="21">
        <f>AR6+AQ6</f>
        <v>375855000000</v>
      </c>
      <c r="AT6" s="19">
        <f>O6</f>
        <v>0</v>
      </c>
      <c r="AU6" s="20"/>
      <c r="AV6" s="21">
        <f>AU6+AT6</f>
        <v>0</v>
      </c>
      <c r="AW6" s="19">
        <f>AS6-AJ6</f>
        <v>375855000000</v>
      </c>
      <c r="AX6" s="19">
        <f>AG6+AM6</f>
        <v>161617650000</v>
      </c>
      <c r="AY6" s="19">
        <f>AW6-AX6</f>
        <v>214237350000</v>
      </c>
      <c r="AZ6" s="22">
        <f>AY6/AW6</f>
        <v>0.56999999999999995</v>
      </c>
      <c r="BA6" s="22" t="str">
        <f>IF(AND(VALUE(AZ6)&gt;=(BB6-0.03), VALUE(AZ6)&lt;=(BC6+0.03)), "dalam range", "luar range")</f>
        <v>dalam range</v>
      </c>
      <c r="BB6" s="27">
        <v>0.44</v>
      </c>
      <c r="BC6" s="27">
        <v>0.56999999999999995</v>
      </c>
      <c r="BD6" s="23" t="str">
        <f>IF(AND(VALUE(U6)&gt;=(BB6-0.03), VALUE(U6)&lt;=(BC6+0.03)), "#0", "Adjustment")</f>
        <v>Adjustment</v>
      </c>
      <c r="BE6" s="13"/>
      <c r="BF6" s="46" t="s">
        <v>78</v>
      </c>
      <c r="BG6" s="25" t="str">
        <f t="shared" si="1"/>
        <v/>
      </c>
      <c r="BH6" s="4" t="str">
        <f>IF(AF5="","",IF(D6="2026",(AG6/12),AG6))</f>
        <v/>
      </c>
      <c r="BI6" s="4" t="str">
        <f t="shared" si="3"/>
        <v/>
      </c>
      <c r="BJ6" s="4">
        <f t="shared" si="4"/>
        <v>161617650000</v>
      </c>
      <c r="BK6" s="4" t="str">
        <f t="shared" si="5"/>
        <v/>
      </c>
      <c r="BL6" s="4" t="str">
        <f t="shared" si="6"/>
        <v/>
      </c>
      <c r="BM6" s="4" t="str">
        <f t="shared" si="7"/>
        <v/>
      </c>
      <c r="BN6" s="42" t="str">
        <f t="shared" si="8"/>
        <v>#0</v>
      </c>
      <c r="BO6" s="42" t="str">
        <f t="shared" si="9"/>
        <v>#0</v>
      </c>
      <c r="BP6" s="42" t="str">
        <f t="shared" si="10"/>
        <v>#0</v>
      </c>
      <c r="BQ6" s="42" t="str">
        <f t="shared" si="11"/>
        <v>#3</v>
      </c>
      <c r="BR6" s="42" t="str">
        <f t="shared" si="12"/>
        <v>#0</v>
      </c>
      <c r="BS6" s="42" t="str">
        <f t="shared" si="13"/>
        <v>#0</v>
      </c>
      <c r="BT6" s="42" t="str">
        <f t="shared" si="14"/>
        <v>#0</v>
      </c>
      <c r="BU6" s="10" t="b">
        <v>1</v>
      </c>
      <c r="BV6" s="10" t="b">
        <v>0</v>
      </c>
    </row>
    <row r="7" spans="1:74" ht="15">
      <c r="A7" s="4" t="s">
        <v>99</v>
      </c>
      <c r="B7" s="4" t="s">
        <v>64</v>
      </c>
      <c r="C7" s="4" t="s">
        <v>87</v>
      </c>
      <c r="D7" s="4" t="s">
        <v>95</v>
      </c>
      <c r="E7" s="4" t="s">
        <v>100</v>
      </c>
      <c r="F7" s="4" t="s">
        <v>101</v>
      </c>
      <c r="G7" s="4">
        <v>8</v>
      </c>
      <c r="H7" s="5">
        <v>11366671067</v>
      </c>
      <c r="I7" s="5">
        <v>0</v>
      </c>
      <c r="J7" s="5">
        <v>0</v>
      </c>
      <c r="K7" s="5">
        <v>23098948813</v>
      </c>
      <c r="L7" s="5">
        <v>0</v>
      </c>
      <c r="M7" s="5">
        <v>34465619880</v>
      </c>
      <c r="N7" s="5">
        <v>256718965853</v>
      </c>
      <c r="O7" s="5">
        <v>733774</v>
      </c>
      <c r="P7" s="5">
        <v>233620017040</v>
      </c>
      <c r="Q7" s="5">
        <v>209372167669</v>
      </c>
      <c r="R7" s="5">
        <v>256718965853</v>
      </c>
      <c r="S7" s="4" t="s">
        <v>69</v>
      </c>
      <c r="T7" s="4"/>
      <c r="U7" s="4">
        <v>0.910022</v>
      </c>
      <c r="V7" s="4">
        <v>32089870731.625</v>
      </c>
      <c r="W7" s="4">
        <v>1</v>
      </c>
      <c r="X7" s="6" t="s">
        <v>102</v>
      </c>
      <c r="Y7" s="4"/>
      <c r="Z7" s="13"/>
      <c r="AA7" s="19">
        <f>(H7/12)/G7</f>
        <v>118402823.61458333</v>
      </c>
      <c r="AB7" s="19" t="str">
        <f>IF(OR(AA7&lt;2317601,AA7&gt;(5*2317601)),"perbaiki","ok")</f>
        <v>perbaiki</v>
      </c>
      <c r="AC7" s="38">
        <v>-106562541.253125</v>
      </c>
      <c r="AD7" s="21">
        <f t="shared" si="0"/>
        <v>11840282.361458331</v>
      </c>
      <c r="AE7" s="19">
        <f>I7</f>
        <v>0</v>
      </c>
      <c r="AF7" s="38"/>
      <c r="AG7" s="21">
        <f t="shared" si="15"/>
        <v>0</v>
      </c>
      <c r="AH7" s="19">
        <f>J7</f>
        <v>0</v>
      </c>
      <c r="AI7" s="20"/>
      <c r="AJ7" s="21">
        <f>AI7+AH7</f>
        <v>0</v>
      </c>
      <c r="AK7" s="19">
        <f>K7</f>
        <v>23098948813</v>
      </c>
      <c r="AL7" s="44">
        <v>87290206503.789993</v>
      </c>
      <c r="AM7" s="21">
        <f>AL7+AK7</f>
        <v>110389155316.78999</v>
      </c>
      <c r="AN7" s="19">
        <f>L7</f>
        <v>0</v>
      </c>
      <c r="AO7" s="20"/>
      <c r="AP7" s="21">
        <f>AO7+AN7</f>
        <v>0</v>
      </c>
      <c r="AQ7" s="19">
        <f>N7</f>
        <v>256718965853</v>
      </c>
      <c r="AR7" s="20"/>
      <c r="AS7" s="21">
        <f>AR7+AQ7</f>
        <v>256718965853</v>
      </c>
      <c r="AT7" s="19">
        <f>O7</f>
        <v>733774</v>
      </c>
      <c r="AU7" s="20"/>
      <c r="AV7" s="21">
        <f>AU7+AT7</f>
        <v>733774</v>
      </c>
      <c r="AW7" s="19">
        <f>AS7-AJ7</f>
        <v>256718965853</v>
      </c>
      <c r="AX7" s="19">
        <f>AG7+AM7</f>
        <v>110389155316.78999</v>
      </c>
      <c r="AY7" s="19">
        <f>AW7-AX7</f>
        <v>146329810536.21002</v>
      </c>
      <c r="AZ7" s="22">
        <f>AY7/AW7</f>
        <v>0.57000000000000006</v>
      </c>
      <c r="BA7" s="22" t="str">
        <f>IF(AND(VALUE(AZ7)&gt;=(BB7-0.03), VALUE(AZ7)&lt;=(BC7+0.03)), "dalam range", "luar range")</f>
        <v>dalam range</v>
      </c>
      <c r="BB7" s="27">
        <v>0.44</v>
      </c>
      <c r="BC7" s="27">
        <v>0.56999999999999995</v>
      </c>
      <c r="BD7" s="23" t="str">
        <f>IF(AND(VALUE(U7)&gt;=(BB7-0.03), VALUE(U7)&lt;=(BC7+0.03)), "#0", "Adjustment")</f>
        <v>Adjustment</v>
      </c>
      <c r="BE7" s="13"/>
      <c r="BF7" s="46" t="s">
        <v>78</v>
      </c>
      <c r="BG7" s="25">
        <f t="shared" si="1"/>
        <v>1136667106.6999998</v>
      </c>
      <c r="BH7" s="4" t="str">
        <f>IF(AF6="","",IF(D7="2026",(AG7/12),AG7))</f>
        <v/>
      </c>
      <c r="BI7" s="4" t="str">
        <f t="shared" si="3"/>
        <v/>
      </c>
      <c r="BJ7" s="4">
        <f t="shared" si="4"/>
        <v>110389155316.78999</v>
      </c>
      <c r="BK7" s="4" t="str">
        <f t="shared" si="5"/>
        <v/>
      </c>
      <c r="BL7" s="4" t="str">
        <f t="shared" si="6"/>
        <v/>
      </c>
      <c r="BM7" s="4" t="str">
        <f t="shared" si="7"/>
        <v/>
      </c>
      <c r="BN7" s="42" t="str">
        <f t="shared" si="8"/>
        <v>#3</v>
      </c>
      <c r="BO7" s="42" t="str">
        <f t="shared" si="9"/>
        <v>#0</v>
      </c>
      <c r="BP7" s="42" t="str">
        <f t="shared" si="10"/>
        <v>#0</v>
      </c>
      <c r="BQ7" s="42" t="str">
        <f t="shared" si="11"/>
        <v>#3</v>
      </c>
      <c r="BR7" s="42" t="str">
        <f t="shared" si="12"/>
        <v>#0</v>
      </c>
      <c r="BS7" s="42" t="str">
        <f t="shared" si="13"/>
        <v>#0</v>
      </c>
      <c r="BT7" s="42" t="str">
        <f t="shared" si="14"/>
        <v>#0</v>
      </c>
      <c r="BU7" s="10" t="b">
        <v>1</v>
      </c>
      <c r="BV7" s="10" t="b">
        <v>0</v>
      </c>
    </row>
    <row r="8" spans="1:74" ht="15">
      <c r="A8" s="4" t="s">
        <v>103</v>
      </c>
      <c r="B8" s="4" t="s">
        <v>64</v>
      </c>
      <c r="C8" s="4" t="s">
        <v>104</v>
      </c>
      <c r="D8" s="4" t="s">
        <v>105</v>
      </c>
      <c r="E8" s="4" t="s">
        <v>106</v>
      </c>
      <c r="F8" s="4" t="s">
        <v>107</v>
      </c>
      <c r="G8" s="4">
        <v>2</v>
      </c>
      <c r="H8" s="5">
        <v>96000000</v>
      </c>
      <c r="I8" s="5">
        <v>78000000000</v>
      </c>
      <c r="J8" s="5">
        <v>0</v>
      </c>
      <c r="K8" s="5">
        <v>5679749817</v>
      </c>
      <c r="L8" s="5">
        <v>0</v>
      </c>
      <c r="M8" s="5">
        <v>83775749817</v>
      </c>
      <c r="N8" s="5">
        <v>88000000000</v>
      </c>
      <c r="O8" s="5">
        <v>0</v>
      </c>
      <c r="P8" s="5">
        <v>4320250183</v>
      </c>
      <c r="Q8" s="5">
        <v>10000000</v>
      </c>
      <c r="R8" s="5">
        <v>88000000000</v>
      </c>
      <c r="S8" s="4" t="s">
        <v>69</v>
      </c>
      <c r="T8" s="4"/>
      <c r="U8" s="4">
        <v>4.9093999999999999E-2</v>
      </c>
      <c r="V8" s="4">
        <v>44000000000</v>
      </c>
      <c r="W8" s="4">
        <v>1</v>
      </c>
      <c r="X8" s="6" t="s">
        <v>108</v>
      </c>
      <c r="Y8" s="4"/>
      <c r="Z8" s="13"/>
      <c r="AA8" s="19">
        <f>(H8/12)/G8</f>
        <v>4000000</v>
      </c>
      <c r="AB8" s="19" t="str">
        <f>IF(OR(AA8&lt;2317601,AA8&gt;(5*2317601)),"perbaiki","ok")</f>
        <v>ok</v>
      </c>
      <c r="AC8" s="38"/>
      <c r="AD8" s="21">
        <f t="shared" si="0"/>
        <v>4000000</v>
      </c>
      <c r="AE8" s="19">
        <f>I8</f>
        <v>78000000000</v>
      </c>
      <c r="AF8" s="44">
        <v>-34399749817</v>
      </c>
      <c r="AG8" s="21">
        <f t="shared" si="15"/>
        <v>43600250183</v>
      </c>
      <c r="AH8" s="19">
        <f>J8</f>
        <v>0</v>
      </c>
      <c r="AI8" s="20"/>
      <c r="AJ8" s="21">
        <f>AI8+AH8</f>
        <v>0</v>
      </c>
      <c r="AK8" s="19">
        <f>K8</f>
        <v>5679749817</v>
      </c>
      <c r="AL8" s="20"/>
      <c r="AM8" s="21">
        <f>AL8+AK8</f>
        <v>5679749817</v>
      </c>
      <c r="AN8" s="19">
        <f>L8</f>
        <v>0</v>
      </c>
      <c r="AO8" s="20"/>
      <c r="AP8" s="21">
        <f>AO8+AN8</f>
        <v>0</v>
      </c>
      <c r="AQ8" s="19">
        <f>N8</f>
        <v>88000000000</v>
      </c>
      <c r="AR8" s="20"/>
      <c r="AS8" s="21">
        <f>AR8+AQ8</f>
        <v>88000000000</v>
      </c>
      <c r="AT8" s="19">
        <f>O8</f>
        <v>0</v>
      </c>
      <c r="AU8" s="20"/>
      <c r="AV8" s="21">
        <f>AU8+AT8</f>
        <v>0</v>
      </c>
      <c r="AW8" s="19">
        <f>AS8-AJ8</f>
        <v>88000000000</v>
      </c>
      <c r="AX8" s="19">
        <f>AG8+AM8</f>
        <v>49280000000</v>
      </c>
      <c r="AY8" s="19">
        <f>AW8-AX8</f>
        <v>38720000000</v>
      </c>
      <c r="AZ8" s="22">
        <f>AY8/AW8</f>
        <v>0.44</v>
      </c>
      <c r="BA8" s="22" t="str">
        <f>IF(AND(VALUE(AZ8)&gt;=(BB8-0.03), VALUE(AZ8)&lt;=(BC8+0.03)), "dalam range", "luar range")</f>
        <v>dalam range</v>
      </c>
      <c r="BB8" s="27">
        <v>0.44</v>
      </c>
      <c r="BC8" s="27">
        <v>0.56999999999999995</v>
      </c>
      <c r="BD8" s="23" t="str">
        <f>IF(AND(VALUE(U8)&gt;=(BB8-0.03), VALUE(U8)&lt;=(BC8+0.03)), "#0", "Adjustment")</f>
        <v>Adjustment</v>
      </c>
      <c r="BE8" s="13"/>
      <c r="BF8" s="46">
        <v>42101</v>
      </c>
      <c r="BG8" s="25" t="str">
        <f t="shared" si="1"/>
        <v/>
      </c>
      <c r="BH8" s="4" t="str">
        <f>IF(AF7="","",IF(D8="2026",(AG8/12),AG8))</f>
        <v/>
      </c>
      <c r="BI8" s="4" t="str">
        <f t="shared" si="3"/>
        <v/>
      </c>
      <c r="BJ8" s="4" t="str">
        <f t="shared" si="4"/>
        <v/>
      </c>
      <c r="BK8" s="4" t="str">
        <f t="shared" si="5"/>
        <v/>
      </c>
      <c r="BL8" s="4" t="str">
        <f t="shared" si="6"/>
        <v/>
      </c>
      <c r="BM8" s="4" t="str">
        <f t="shared" si="7"/>
        <v/>
      </c>
      <c r="BN8" s="42" t="str">
        <f t="shared" si="8"/>
        <v>#0</v>
      </c>
      <c r="BO8" s="42" t="str">
        <f t="shared" si="9"/>
        <v>#0</v>
      </c>
      <c r="BP8" s="42" t="str">
        <f t="shared" si="10"/>
        <v>#0</v>
      </c>
      <c r="BQ8" s="42" t="str">
        <f t="shared" si="11"/>
        <v>#0</v>
      </c>
      <c r="BR8" s="42" t="str">
        <f t="shared" si="12"/>
        <v>#0</v>
      </c>
      <c r="BS8" s="42" t="str">
        <f t="shared" si="13"/>
        <v>#0</v>
      </c>
      <c r="BT8" s="42" t="str">
        <f t="shared" si="14"/>
        <v>#0</v>
      </c>
      <c r="BU8" s="10" t="b">
        <v>1</v>
      </c>
      <c r="BV8" s="10" t="b">
        <v>0</v>
      </c>
    </row>
    <row r="9" spans="1:74" ht="15">
      <c r="A9" s="4" t="s">
        <v>63</v>
      </c>
      <c r="B9" s="4" t="s">
        <v>64</v>
      </c>
      <c r="C9" s="4" t="s">
        <v>109</v>
      </c>
      <c r="D9" s="4" t="s">
        <v>110</v>
      </c>
      <c r="E9" s="4" t="s">
        <v>111</v>
      </c>
      <c r="F9" s="4" t="s">
        <v>112</v>
      </c>
      <c r="G9" s="4">
        <v>8</v>
      </c>
      <c r="H9" s="5">
        <v>432000000000</v>
      </c>
      <c r="I9" s="5">
        <v>0</v>
      </c>
      <c r="J9" s="5">
        <v>0</v>
      </c>
      <c r="K9" s="5">
        <v>13800000000</v>
      </c>
      <c r="L9" s="5">
        <v>0</v>
      </c>
      <c r="M9" s="5">
        <v>445800000000</v>
      </c>
      <c r="N9" s="5">
        <v>447719743614</v>
      </c>
      <c r="O9" s="5">
        <v>0</v>
      </c>
      <c r="P9" s="5">
        <v>433919743614</v>
      </c>
      <c r="Q9" s="5">
        <v>2400000000</v>
      </c>
      <c r="R9" s="5">
        <v>447719743614</v>
      </c>
      <c r="S9" s="4" t="s">
        <v>69</v>
      </c>
      <c r="T9" s="4" t="s">
        <v>70</v>
      </c>
      <c r="U9" s="4">
        <v>0.96917699999999996</v>
      </c>
      <c r="V9" s="4">
        <v>55964967951.75</v>
      </c>
      <c r="W9" s="4">
        <v>1</v>
      </c>
      <c r="X9" s="6" t="s">
        <v>113</v>
      </c>
      <c r="Y9" s="4" t="s">
        <v>114</v>
      </c>
      <c r="Z9" s="13"/>
      <c r="AA9" s="19">
        <f>(H9/12)/G9</f>
        <v>4500000000</v>
      </c>
      <c r="AB9" s="19" t="str">
        <f>IF(OR(AA9&lt;2317601,AA9&gt;(5*2317601)),"perbaiki","ok")</f>
        <v>perbaiki</v>
      </c>
      <c r="AC9" s="38">
        <v>-4495500000</v>
      </c>
      <c r="AD9" s="21">
        <f t="shared" si="0"/>
        <v>4500000</v>
      </c>
      <c r="AE9" s="19">
        <f>I9</f>
        <v>0</v>
      </c>
      <c r="AF9" s="38"/>
      <c r="AG9" s="21">
        <f t="shared" si="15"/>
        <v>0</v>
      </c>
      <c r="AH9" s="19">
        <f>J9</f>
        <v>0</v>
      </c>
      <c r="AI9" s="20"/>
      <c r="AJ9" s="21">
        <f>AI9+AH9</f>
        <v>0</v>
      </c>
      <c r="AK9" s="19">
        <f>K9</f>
        <v>13800000000</v>
      </c>
      <c r="AL9" s="44">
        <v>178719489754.01999</v>
      </c>
      <c r="AM9" s="21">
        <f>AL9+AK9</f>
        <v>192519489754.01999</v>
      </c>
      <c r="AN9" s="19">
        <f>L9</f>
        <v>0</v>
      </c>
      <c r="AO9" s="20"/>
      <c r="AP9" s="21">
        <f>AO9+AN9</f>
        <v>0</v>
      </c>
      <c r="AQ9" s="19">
        <f>N9</f>
        <v>447719743614</v>
      </c>
      <c r="AR9" s="20"/>
      <c r="AS9" s="21">
        <f>AR9+AQ9</f>
        <v>447719743614</v>
      </c>
      <c r="AT9" s="19">
        <f>O9</f>
        <v>0</v>
      </c>
      <c r="AU9" s="20"/>
      <c r="AV9" s="21">
        <f>AU9+AT9</f>
        <v>0</v>
      </c>
      <c r="AW9" s="19">
        <f>AS9-AJ9</f>
        <v>447719743614</v>
      </c>
      <c r="AX9" s="19">
        <f>AG9+AM9</f>
        <v>192519489754.01999</v>
      </c>
      <c r="AY9" s="19">
        <f>AW9-AX9</f>
        <v>255200253859.98001</v>
      </c>
      <c r="AZ9" s="22">
        <f>AY9/AW9</f>
        <v>0.57000000000000006</v>
      </c>
      <c r="BA9" s="22" t="str">
        <f>IF(AND(VALUE(AZ9)&gt;=(BB9-0.03), VALUE(AZ9)&lt;=(BC9+0.03)), "dalam range", "luar range")</f>
        <v>dalam range</v>
      </c>
      <c r="BB9" s="27">
        <v>0.44</v>
      </c>
      <c r="BC9" s="27">
        <v>0.56999999999999995</v>
      </c>
      <c r="BD9" s="23" t="str">
        <f>IF(AND(VALUE(U9)&gt;=(BB9-0.03), VALUE(U9)&lt;=(BC9+0.03)), "#0", "Adjustment")</f>
        <v>Adjustment</v>
      </c>
      <c r="BE9" s="13"/>
      <c r="BF9" s="46" t="s">
        <v>78</v>
      </c>
      <c r="BG9" s="25">
        <f t="shared" si="1"/>
        <v>432000000</v>
      </c>
      <c r="BH9" s="4">
        <f>IF(AF8="","",IF(D9="2026",(AG9/12),AG9))</f>
        <v>0</v>
      </c>
      <c r="BI9" s="4" t="str">
        <f t="shared" si="3"/>
        <v/>
      </c>
      <c r="BJ9" s="4">
        <f t="shared" si="4"/>
        <v>192519489754.01999</v>
      </c>
      <c r="BK9" s="4" t="str">
        <f t="shared" si="5"/>
        <v/>
      </c>
      <c r="BL9" s="4" t="str">
        <f t="shared" si="6"/>
        <v/>
      </c>
      <c r="BM9" s="4" t="str">
        <f t="shared" si="7"/>
        <v/>
      </c>
      <c r="BN9" s="42" t="str">
        <f t="shared" si="8"/>
        <v>#3</v>
      </c>
      <c r="BO9" s="42" t="str">
        <f t="shared" si="9"/>
        <v>#3</v>
      </c>
      <c r="BP9" s="42" t="str">
        <f t="shared" si="10"/>
        <v>#0</v>
      </c>
      <c r="BQ9" s="42" t="str">
        <f t="shared" si="11"/>
        <v>#3</v>
      </c>
      <c r="BR9" s="42" t="str">
        <f t="shared" si="12"/>
        <v>#0</v>
      </c>
      <c r="BS9" s="42" t="str">
        <f t="shared" si="13"/>
        <v>#0</v>
      </c>
      <c r="BT9" s="42" t="str">
        <f t="shared" si="14"/>
        <v>#0</v>
      </c>
      <c r="BU9" s="10" t="b">
        <v>1</v>
      </c>
      <c r="BV9" s="10" t="b">
        <v>0</v>
      </c>
    </row>
    <row r="10" spans="1:74" ht="15">
      <c r="A10" s="4" t="s">
        <v>99</v>
      </c>
      <c r="B10" s="4" t="s">
        <v>64</v>
      </c>
      <c r="C10" s="4" t="s">
        <v>109</v>
      </c>
      <c r="D10" s="4" t="s">
        <v>115</v>
      </c>
      <c r="E10" s="4" t="s">
        <v>116</v>
      </c>
      <c r="F10" s="4" t="s">
        <v>117</v>
      </c>
      <c r="G10" s="4">
        <v>25</v>
      </c>
      <c r="H10" s="5">
        <v>2150400000</v>
      </c>
      <c r="I10" s="5">
        <v>2035000000</v>
      </c>
      <c r="J10" s="5">
        <v>0</v>
      </c>
      <c r="K10" s="5">
        <v>1197000000</v>
      </c>
      <c r="L10" s="5">
        <v>1460000000</v>
      </c>
      <c r="M10" s="5">
        <v>6842400000</v>
      </c>
      <c r="N10" s="5">
        <v>101350000000</v>
      </c>
      <c r="O10" s="5">
        <v>0</v>
      </c>
      <c r="P10" s="5">
        <v>98118000000</v>
      </c>
      <c r="Q10" s="5">
        <v>6970000000</v>
      </c>
      <c r="R10" s="5">
        <v>101350000000</v>
      </c>
      <c r="S10" s="4" t="s">
        <v>69</v>
      </c>
      <c r="T10" s="4"/>
      <c r="U10" s="4">
        <v>0.96811100000000005</v>
      </c>
      <c r="V10" s="4">
        <v>4054000000</v>
      </c>
      <c r="W10" s="4">
        <v>1</v>
      </c>
      <c r="X10" s="6" t="s">
        <v>118</v>
      </c>
      <c r="Y10" s="4" t="s">
        <v>119</v>
      </c>
      <c r="Z10" s="13"/>
      <c r="AA10" s="19">
        <f>(H10/12)/G10</f>
        <v>7168000</v>
      </c>
      <c r="AB10" s="19" t="str">
        <f>IF(OR(AA10&lt;2317601,AA10&gt;(5*2317601)),"perbaiki","ok")</f>
        <v>ok</v>
      </c>
      <c r="AC10" s="38"/>
      <c r="AD10" s="21">
        <f t="shared" si="0"/>
        <v>7168000</v>
      </c>
      <c r="AE10" s="19">
        <f>I10</f>
        <v>2035000000</v>
      </c>
      <c r="AF10" s="38"/>
      <c r="AG10" s="21">
        <f t="shared" si="15"/>
        <v>2035000000</v>
      </c>
      <c r="AH10" s="19">
        <f>J10</f>
        <v>0</v>
      </c>
      <c r="AI10" s="44">
        <v>93833720930.229996</v>
      </c>
      <c r="AJ10" s="21">
        <f>AI10+AH10</f>
        <v>93833720930.229996</v>
      </c>
      <c r="AK10" s="19">
        <f>K10</f>
        <v>1197000000</v>
      </c>
      <c r="AL10" s="20"/>
      <c r="AM10" s="21">
        <f>AL10+AK10</f>
        <v>1197000000</v>
      </c>
      <c r="AN10" s="19">
        <f>L10</f>
        <v>1460000000</v>
      </c>
      <c r="AO10" s="20"/>
      <c r="AP10" s="21">
        <f>AO10+AN10</f>
        <v>1460000000</v>
      </c>
      <c r="AQ10" s="19">
        <f>N10</f>
        <v>101350000000</v>
      </c>
      <c r="AR10" s="20"/>
      <c r="AS10" s="21">
        <f>AR10+AQ10</f>
        <v>101350000000</v>
      </c>
      <c r="AT10" s="19">
        <f>O10</f>
        <v>0</v>
      </c>
      <c r="AU10" s="20"/>
      <c r="AV10" s="21">
        <f>AU10+AT10</f>
        <v>0</v>
      </c>
      <c r="AW10" s="19">
        <f>AS10-AJ10</f>
        <v>7516279069.7700043</v>
      </c>
      <c r="AX10" s="19">
        <f>AG10+AM10</f>
        <v>3232000000</v>
      </c>
      <c r="AY10" s="19">
        <f>AW10-AX10</f>
        <v>4284279069.7700043</v>
      </c>
      <c r="AZ10" s="22">
        <f>AY10/AW10</f>
        <v>0.57000000000014661</v>
      </c>
      <c r="BA10" s="22" t="str">
        <f>IF(AND(VALUE(AZ10)&gt;=(BB10-0.03), VALUE(AZ10)&lt;=(BC10+0.03)), "dalam range", "luar range")</f>
        <v>dalam range</v>
      </c>
      <c r="BB10" s="27">
        <v>0.44</v>
      </c>
      <c r="BC10" s="27">
        <v>0.56999999999999995</v>
      </c>
      <c r="BD10" s="23" t="str">
        <f>IF(AND(VALUE(U10)&gt;=(BB10-0.03), VALUE(U10)&lt;=(BC10+0.03)), "#0", "Adjustment")</f>
        <v>Adjustment</v>
      </c>
      <c r="BE10" s="13"/>
      <c r="BF10" s="46" t="s">
        <v>78</v>
      </c>
      <c r="BG10" s="25" t="str">
        <f t="shared" si="1"/>
        <v/>
      </c>
      <c r="BH10" s="4" t="str">
        <f>IF(AF9="","",IF(D10="2026",(AG10/12),AG10))</f>
        <v/>
      </c>
      <c r="BI10" s="4">
        <f t="shared" si="3"/>
        <v>93833720930.229996</v>
      </c>
      <c r="BJ10" s="4" t="str">
        <f t="shared" si="4"/>
        <v/>
      </c>
      <c r="BK10" s="4" t="str">
        <f t="shared" si="5"/>
        <v/>
      </c>
      <c r="BL10" s="4" t="str">
        <f t="shared" si="6"/>
        <v/>
      </c>
      <c r="BM10" s="4" t="str">
        <f t="shared" si="7"/>
        <v/>
      </c>
      <c r="BN10" s="42" t="str">
        <f t="shared" si="8"/>
        <v>#0</v>
      </c>
      <c r="BO10" s="42" t="str">
        <f t="shared" si="9"/>
        <v>#0</v>
      </c>
      <c r="BP10" s="42" t="str">
        <f t="shared" si="10"/>
        <v>#3</v>
      </c>
      <c r="BQ10" s="42" t="str">
        <f t="shared" si="11"/>
        <v>#0</v>
      </c>
      <c r="BR10" s="42" t="str">
        <f t="shared" si="12"/>
        <v>#0</v>
      </c>
      <c r="BS10" s="42" t="str">
        <f t="shared" si="13"/>
        <v>#0</v>
      </c>
      <c r="BT10" s="42" t="str">
        <f t="shared" si="14"/>
        <v>#0</v>
      </c>
      <c r="BU10" s="10" t="b">
        <v>1</v>
      </c>
      <c r="BV10" s="10" t="b">
        <v>0</v>
      </c>
    </row>
    <row r="11" spans="1:74" ht="15">
      <c r="A11" s="4" t="s">
        <v>120</v>
      </c>
      <c r="B11" s="4" t="s">
        <v>64</v>
      </c>
      <c r="C11" s="4" t="s">
        <v>104</v>
      </c>
      <c r="D11" s="4" t="s">
        <v>121</v>
      </c>
      <c r="E11" s="4" t="s">
        <v>122</v>
      </c>
      <c r="F11" s="4" t="s">
        <v>123</v>
      </c>
      <c r="G11" s="4">
        <v>3</v>
      </c>
      <c r="H11" s="5">
        <v>72000000</v>
      </c>
      <c r="I11" s="5">
        <v>0</v>
      </c>
      <c r="J11" s="5">
        <v>0</v>
      </c>
      <c r="K11" s="5">
        <v>440000000</v>
      </c>
      <c r="L11" s="5">
        <v>0</v>
      </c>
      <c r="M11" s="5">
        <v>512000000</v>
      </c>
      <c r="N11" s="5">
        <v>181500000000</v>
      </c>
      <c r="O11" s="5">
        <v>0</v>
      </c>
      <c r="P11" s="5">
        <v>181060000000</v>
      </c>
      <c r="Q11" s="5">
        <v>1050000000</v>
      </c>
      <c r="R11" s="5">
        <v>181500000000</v>
      </c>
      <c r="S11" s="4" t="s">
        <v>69</v>
      </c>
      <c r="T11" s="4"/>
      <c r="U11" s="4">
        <v>0.99757600000000002</v>
      </c>
      <c r="V11" s="4">
        <v>60500000000</v>
      </c>
      <c r="W11" s="4">
        <v>1</v>
      </c>
      <c r="X11" s="6" t="s">
        <v>124</v>
      </c>
      <c r="Y11" s="4"/>
      <c r="Z11" s="13"/>
      <c r="AA11" s="19">
        <f>(H11/12)/G11</f>
        <v>2000000</v>
      </c>
      <c r="AB11" s="19" t="str">
        <f>IF(OR(AA11&lt;2317601,AA11&gt;(5*2317601)),"perbaiki","ok")</f>
        <v>perbaiki</v>
      </c>
      <c r="AC11" s="38"/>
      <c r="AD11" s="21">
        <f t="shared" si="0"/>
        <v>2000000</v>
      </c>
      <c r="AE11" s="19">
        <f>I11</f>
        <v>0</v>
      </c>
      <c r="AF11" s="38"/>
      <c r="AG11" s="21">
        <f t="shared" si="15"/>
        <v>0</v>
      </c>
      <c r="AH11" s="19">
        <f>J11</f>
        <v>0</v>
      </c>
      <c r="AI11" s="20"/>
      <c r="AJ11" s="21">
        <f>AI11+AH11</f>
        <v>0</v>
      </c>
      <c r="AK11" s="19">
        <f>K11</f>
        <v>440000000</v>
      </c>
      <c r="AL11" s="44">
        <v>77605000000</v>
      </c>
      <c r="AM11" s="21">
        <f>AL11+AK11</f>
        <v>78045000000</v>
      </c>
      <c r="AN11" s="19">
        <f>L11</f>
        <v>0</v>
      </c>
      <c r="AO11" s="20"/>
      <c r="AP11" s="21">
        <f>AO11+AN11</f>
        <v>0</v>
      </c>
      <c r="AQ11" s="19">
        <f>N11</f>
        <v>181500000000</v>
      </c>
      <c r="AR11" s="20"/>
      <c r="AS11" s="21">
        <f>AR11+AQ11</f>
        <v>181500000000</v>
      </c>
      <c r="AT11" s="19">
        <f>O11</f>
        <v>0</v>
      </c>
      <c r="AU11" s="20"/>
      <c r="AV11" s="21">
        <f>AU11+AT11</f>
        <v>0</v>
      </c>
      <c r="AW11" s="19">
        <f>AS11-AJ11</f>
        <v>181500000000</v>
      </c>
      <c r="AX11" s="19">
        <f>AG11+AM11</f>
        <v>78045000000</v>
      </c>
      <c r="AY11" s="19">
        <f>AW11-AX11</f>
        <v>103455000000</v>
      </c>
      <c r="AZ11" s="22">
        <f>AY11/AW11</f>
        <v>0.56999999999999995</v>
      </c>
      <c r="BA11" s="22" t="str">
        <f>IF(AND(VALUE(AZ11)&gt;=(BB11-0.03), VALUE(AZ11)&lt;=(BC11+0.03)), "dalam range", "luar range")</f>
        <v>dalam range</v>
      </c>
      <c r="BB11" s="27">
        <v>0.44</v>
      </c>
      <c r="BC11" s="27">
        <v>0.56999999999999995</v>
      </c>
      <c r="BD11" s="23" t="str">
        <f>IF(AND(VALUE(U11)&gt;=(BB11-0.03), VALUE(U11)&lt;=(BC11+0.03)), "#0", "Adjustment")</f>
        <v>Adjustment</v>
      </c>
      <c r="BE11" s="13"/>
      <c r="BF11" s="46" t="s">
        <v>78</v>
      </c>
      <c r="BG11" s="25" t="str">
        <f t="shared" si="1"/>
        <v/>
      </c>
      <c r="BH11" s="4" t="str">
        <f>IF(AF10="","",IF(D11="2026",(AG11/12),AG11))</f>
        <v/>
      </c>
      <c r="BI11" s="4" t="str">
        <f t="shared" si="3"/>
        <v/>
      </c>
      <c r="BJ11" s="4">
        <f t="shared" si="4"/>
        <v>78045000000</v>
      </c>
      <c r="BK11" s="4" t="str">
        <f t="shared" si="5"/>
        <v/>
      </c>
      <c r="BL11" s="4" t="str">
        <f t="shared" si="6"/>
        <v/>
      </c>
      <c r="BM11" s="4" t="str">
        <f t="shared" si="7"/>
        <v/>
      </c>
      <c r="BN11" s="42" t="str">
        <f t="shared" si="8"/>
        <v>#0</v>
      </c>
      <c r="BO11" s="42" t="str">
        <f t="shared" si="9"/>
        <v>#0</v>
      </c>
      <c r="BP11" s="42" t="str">
        <f t="shared" si="10"/>
        <v>#0</v>
      </c>
      <c r="BQ11" s="42" t="str">
        <f t="shared" si="11"/>
        <v>#3</v>
      </c>
      <c r="BR11" s="42" t="str">
        <f t="shared" si="12"/>
        <v>#0</v>
      </c>
      <c r="BS11" s="42" t="str">
        <f t="shared" si="13"/>
        <v>#0</v>
      </c>
      <c r="BT11" s="42" t="str">
        <f t="shared" si="14"/>
        <v>#0</v>
      </c>
      <c r="BU11" s="10" t="b">
        <v>1</v>
      </c>
      <c r="BV11" s="10" t="b">
        <v>0</v>
      </c>
    </row>
    <row r="12" spans="1:74" ht="15">
      <c r="A12" s="4" t="s">
        <v>125</v>
      </c>
      <c r="B12" s="4" t="s">
        <v>64</v>
      </c>
      <c r="C12" s="4" t="s">
        <v>126</v>
      </c>
      <c r="D12" s="4" t="s">
        <v>127</v>
      </c>
      <c r="E12" s="4" t="s">
        <v>128</v>
      </c>
      <c r="F12" s="4" t="s">
        <v>129</v>
      </c>
      <c r="G12" s="4">
        <v>107</v>
      </c>
      <c r="H12" s="5">
        <v>6293855000</v>
      </c>
      <c r="I12" s="5">
        <v>0</v>
      </c>
      <c r="J12" s="5">
        <v>0</v>
      </c>
      <c r="K12" s="5">
        <v>6293855000</v>
      </c>
      <c r="L12" s="5">
        <v>0</v>
      </c>
      <c r="M12" s="5">
        <v>12587710000</v>
      </c>
      <c r="N12" s="5">
        <v>101000000000</v>
      </c>
      <c r="O12" s="5">
        <v>1300000000</v>
      </c>
      <c r="P12" s="5">
        <v>94706145000</v>
      </c>
      <c r="Q12" s="5">
        <v>258467418116</v>
      </c>
      <c r="R12" s="5">
        <v>101000000000</v>
      </c>
      <c r="S12" s="4" t="s">
        <v>69</v>
      </c>
      <c r="T12" s="4" t="s">
        <v>70</v>
      </c>
      <c r="U12" s="4">
        <v>0.93768499999999999</v>
      </c>
      <c r="V12" s="4">
        <v>943925233.64486003</v>
      </c>
      <c r="W12" s="4">
        <v>1</v>
      </c>
      <c r="X12" s="6" t="s">
        <v>130</v>
      </c>
      <c r="Y12" s="4" t="s">
        <v>131</v>
      </c>
      <c r="Z12" s="13"/>
      <c r="AA12" s="19">
        <f>(H12/12)/G12</f>
        <v>4901756.2305295952</v>
      </c>
      <c r="AB12" s="19" t="str">
        <f>IF(OR(AA12&lt;2317601,AA12&gt;(5*2317601)),"perbaiki","ok")</f>
        <v>ok</v>
      </c>
      <c r="AC12" s="38"/>
      <c r="AD12" s="21">
        <f t="shared" si="0"/>
        <v>4901756.2305295952</v>
      </c>
      <c r="AE12" s="19">
        <f>I12</f>
        <v>0</v>
      </c>
      <c r="AF12" s="38"/>
      <c r="AG12" s="21">
        <f t="shared" si="15"/>
        <v>0</v>
      </c>
      <c r="AH12" s="19">
        <f>J12</f>
        <v>0</v>
      </c>
      <c r="AI12" s="20"/>
      <c r="AJ12" s="21">
        <f>AI12+AH12</f>
        <v>0</v>
      </c>
      <c r="AK12" s="19">
        <f>K12</f>
        <v>6293855000</v>
      </c>
      <c r="AL12" s="44">
        <v>37136145000</v>
      </c>
      <c r="AM12" s="21">
        <f>AL12+AK12</f>
        <v>43430000000</v>
      </c>
      <c r="AN12" s="19">
        <f>L12</f>
        <v>0</v>
      </c>
      <c r="AO12" s="20"/>
      <c r="AP12" s="21">
        <f>AO12+AN12</f>
        <v>0</v>
      </c>
      <c r="AQ12" s="19">
        <f>N12</f>
        <v>101000000000</v>
      </c>
      <c r="AR12" s="20"/>
      <c r="AS12" s="21">
        <f>AR12+AQ12</f>
        <v>101000000000</v>
      </c>
      <c r="AT12" s="19">
        <f>O12</f>
        <v>1300000000</v>
      </c>
      <c r="AU12" s="20"/>
      <c r="AV12" s="21">
        <f>AU12+AT12</f>
        <v>1300000000</v>
      </c>
      <c r="AW12" s="19">
        <f>AS12-AJ12</f>
        <v>101000000000</v>
      </c>
      <c r="AX12" s="19">
        <f>AG12+AM12</f>
        <v>43430000000</v>
      </c>
      <c r="AY12" s="19">
        <f>AW12-AX12</f>
        <v>57570000000</v>
      </c>
      <c r="AZ12" s="22">
        <f>AY12/AW12</f>
        <v>0.56999999999999995</v>
      </c>
      <c r="BA12" s="22" t="str">
        <f>IF(AND(VALUE(AZ12)&gt;=(BB12-0.03), VALUE(AZ12)&lt;=(BC12+0.03)), "dalam range", "luar range")</f>
        <v>dalam range</v>
      </c>
      <c r="BB12" s="27">
        <v>0.44</v>
      </c>
      <c r="BC12" s="27">
        <v>0.56999999999999995</v>
      </c>
      <c r="BD12" s="23" t="str">
        <f>IF(AND(VALUE(U12)&gt;=(BB12-0.03), VALUE(U12)&lt;=(BC12+0.03)), "#0", "Adjustment")</f>
        <v>Adjustment</v>
      </c>
      <c r="BE12" s="13"/>
      <c r="BF12" s="46">
        <v>85500</v>
      </c>
      <c r="BG12" s="25" t="str">
        <f t="shared" si="1"/>
        <v/>
      </c>
      <c r="BH12" s="4" t="str">
        <f>IF(AF11="","",IF(D12="2026",(AG12/12),AG12))</f>
        <v/>
      </c>
      <c r="BI12" s="4" t="str">
        <f t="shared" si="3"/>
        <v/>
      </c>
      <c r="BJ12" s="4">
        <f t="shared" si="4"/>
        <v>43430000000</v>
      </c>
      <c r="BK12" s="4" t="str">
        <f t="shared" si="5"/>
        <v/>
      </c>
      <c r="BL12" s="4" t="str">
        <f t="shared" si="6"/>
        <v/>
      </c>
      <c r="BM12" s="4" t="str">
        <f t="shared" si="7"/>
        <v/>
      </c>
      <c r="BN12" s="42" t="str">
        <f t="shared" si="8"/>
        <v>#0</v>
      </c>
      <c r="BO12" s="42" t="str">
        <f t="shared" si="9"/>
        <v>#0</v>
      </c>
      <c r="BP12" s="42" t="str">
        <f t="shared" si="10"/>
        <v>#0</v>
      </c>
      <c r="BQ12" s="42" t="str">
        <f t="shared" si="11"/>
        <v>#3</v>
      </c>
      <c r="BR12" s="42" t="str">
        <f t="shared" si="12"/>
        <v>#0</v>
      </c>
      <c r="BS12" s="42" t="str">
        <f t="shared" si="13"/>
        <v>#0</v>
      </c>
      <c r="BT12" s="42" t="str">
        <f t="shared" si="14"/>
        <v>#0</v>
      </c>
      <c r="BU12" s="10" t="b">
        <v>1</v>
      </c>
      <c r="BV12" s="10" t="b">
        <v>0</v>
      </c>
    </row>
    <row r="13" spans="1:74" ht="15">
      <c r="A13" s="4" t="s">
        <v>99</v>
      </c>
      <c r="B13" s="4" t="s">
        <v>64</v>
      </c>
      <c r="C13" s="4" t="s">
        <v>132</v>
      </c>
      <c r="D13" s="4" t="s">
        <v>121</v>
      </c>
      <c r="E13" s="4" t="s">
        <v>133</v>
      </c>
      <c r="F13" s="4" t="s">
        <v>134</v>
      </c>
      <c r="G13" s="4">
        <v>15</v>
      </c>
      <c r="H13" s="5">
        <v>91390000000</v>
      </c>
      <c r="I13" s="5">
        <v>828000000</v>
      </c>
      <c r="J13" s="5">
        <v>0</v>
      </c>
      <c r="K13" s="5">
        <v>2000000</v>
      </c>
      <c r="L13" s="5">
        <v>7500000</v>
      </c>
      <c r="M13" s="5">
        <v>92227500000</v>
      </c>
      <c r="N13" s="5">
        <v>85000000000</v>
      </c>
      <c r="O13" s="5">
        <v>8500000000</v>
      </c>
      <c r="P13" s="5">
        <v>84170000000</v>
      </c>
      <c r="Q13" s="5">
        <v>850000000</v>
      </c>
      <c r="R13" s="5">
        <v>85000000000</v>
      </c>
      <c r="S13" s="4" t="s">
        <v>69</v>
      </c>
      <c r="T13" s="4"/>
      <c r="U13" s="4">
        <v>0.99023499999999998</v>
      </c>
      <c r="V13" s="4">
        <v>5666666666.6666603</v>
      </c>
      <c r="W13" s="4">
        <v>1</v>
      </c>
      <c r="X13" s="6" t="s">
        <v>135</v>
      </c>
      <c r="Y13" s="4" t="s">
        <v>136</v>
      </c>
      <c r="Z13" s="13"/>
      <c r="AA13" s="19">
        <f>(H13/12)/G13</f>
        <v>507722222.22222221</v>
      </c>
      <c r="AB13" s="19" t="str">
        <f>IF(OR(AA13&lt;2317601,AA13&gt;(5*2317601)),"perbaiki","ok")</f>
        <v>perbaiki</v>
      </c>
      <c r="AC13" s="38">
        <v>-502644999.77999997</v>
      </c>
      <c r="AD13" s="21">
        <f t="shared" si="0"/>
        <v>5077222.4422222376</v>
      </c>
      <c r="AE13" s="19">
        <f>I13</f>
        <v>828000000</v>
      </c>
      <c r="AF13" s="44">
        <v>35720000000</v>
      </c>
      <c r="AG13" s="21">
        <f t="shared" si="15"/>
        <v>36548000000</v>
      </c>
      <c r="AH13" s="19">
        <f>J13</f>
        <v>0</v>
      </c>
      <c r="AI13" s="20"/>
      <c r="AJ13" s="21">
        <f>AI13+AH13</f>
        <v>0</v>
      </c>
      <c r="AK13" s="19">
        <f>K13</f>
        <v>2000000</v>
      </c>
      <c r="AL13" s="20"/>
      <c r="AM13" s="21">
        <f>AL13+AK13</f>
        <v>2000000</v>
      </c>
      <c r="AN13" s="19">
        <f>L13</f>
        <v>7500000</v>
      </c>
      <c r="AO13" s="20"/>
      <c r="AP13" s="21">
        <f>AO13+AN13</f>
        <v>7500000</v>
      </c>
      <c r="AQ13" s="19">
        <f>N13</f>
        <v>85000000000</v>
      </c>
      <c r="AR13" s="20"/>
      <c r="AS13" s="21">
        <f>AR13+AQ13</f>
        <v>85000000000</v>
      </c>
      <c r="AT13" s="19">
        <f>O13</f>
        <v>8500000000</v>
      </c>
      <c r="AU13" s="20"/>
      <c r="AV13" s="21">
        <f>AU13+AT13</f>
        <v>8500000000</v>
      </c>
      <c r="AW13" s="19">
        <f>AS13-AJ13</f>
        <v>85000000000</v>
      </c>
      <c r="AX13" s="19">
        <f>AG13+AM13</f>
        <v>36550000000</v>
      </c>
      <c r="AY13" s="19">
        <f>AW13-AX13</f>
        <v>48450000000</v>
      </c>
      <c r="AZ13" s="22">
        <f>AY13/AW13</f>
        <v>0.56999999999999995</v>
      </c>
      <c r="BA13" s="22" t="str">
        <f>IF(AND(VALUE(AZ13)&gt;=(BB13-0.03), VALUE(AZ13)&lt;=(BC13+0.03)), "dalam range", "luar range")</f>
        <v>dalam range</v>
      </c>
      <c r="BB13" s="27">
        <v>0.44</v>
      </c>
      <c r="BC13" s="27">
        <v>0.56999999999999995</v>
      </c>
      <c r="BD13" s="23" t="str">
        <f>IF(AND(VALUE(U13)&gt;=(BB13-0.03), VALUE(U13)&lt;=(BC13+0.03)), "#0", "Adjustment")</f>
        <v>Adjustment</v>
      </c>
      <c r="BE13" s="13"/>
      <c r="BF13" s="46">
        <v>71109</v>
      </c>
      <c r="BG13" s="25">
        <f t="shared" si="1"/>
        <v>913900039.60000277</v>
      </c>
      <c r="BH13" s="4" t="str">
        <f>IF(AF12="","",IF(D13="2026",(AG13/12),AG13))</f>
        <v/>
      </c>
      <c r="BI13" s="4" t="str">
        <f t="shared" si="3"/>
        <v/>
      </c>
      <c r="BJ13" s="4" t="str">
        <f t="shared" si="4"/>
        <v/>
      </c>
      <c r="BK13" s="4" t="str">
        <f t="shared" si="5"/>
        <v/>
      </c>
      <c r="BL13" s="4" t="str">
        <f t="shared" si="6"/>
        <v/>
      </c>
      <c r="BM13" s="4" t="str">
        <f t="shared" si="7"/>
        <v/>
      </c>
      <c r="BN13" s="42" t="str">
        <f t="shared" si="8"/>
        <v>#3</v>
      </c>
      <c r="BO13" s="42" t="str">
        <f t="shared" si="9"/>
        <v>#0</v>
      </c>
      <c r="BP13" s="42" t="str">
        <f t="shared" si="10"/>
        <v>#0</v>
      </c>
      <c r="BQ13" s="42" t="str">
        <f t="shared" si="11"/>
        <v>#0</v>
      </c>
      <c r="BR13" s="42" t="str">
        <f t="shared" si="12"/>
        <v>#0</v>
      </c>
      <c r="BS13" s="42" t="str">
        <f t="shared" si="13"/>
        <v>#0</v>
      </c>
      <c r="BT13" s="42" t="str">
        <f t="shared" si="14"/>
        <v>#0</v>
      </c>
      <c r="BU13" s="10" t="b">
        <v>1</v>
      </c>
      <c r="BV13" s="10" t="b">
        <v>0</v>
      </c>
    </row>
    <row r="14" spans="1:74" ht="15">
      <c r="A14" s="4" t="s">
        <v>79</v>
      </c>
      <c r="B14" s="4" t="s">
        <v>64</v>
      </c>
      <c r="C14" s="4" t="s">
        <v>137</v>
      </c>
      <c r="D14" s="4" t="s">
        <v>138</v>
      </c>
      <c r="E14" s="4" t="s">
        <v>139</v>
      </c>
      <c r="F14" s="4" t="s">
        <v>140</v>
      </c>
      <c r="G14" s="4">
        <v>415</v>
      </c>
      <c r="H14" s="5">
        <v>80440261843</v>
      </c>
      <c r="I14" s="5">
        <v>137570483067</v>
      </c>
      <c r="J14" s="5">
        <v>0</v>
      </c>
      <c r="K14" s="5">
        <v>69405571771</v>
      </c>
      <c r="L14" s="5">
        <v>6182723680</v>
      </c>
      <c r="M14" s="5">
        <v>293599040361</v>
      </c>
      <c r="N14" s="5">
        <v>331483911494</v>
      </c>
      <c r="O14" s="5">
        <v>864558213</v>
      </c>
      <c r="P14" s="5">
        <v>124507856656</v>
      </c>
      <c r="Q14" s="5">
        <v>317668844833</v>
      </c>
      <c r="R14" s="5">
        <v>331483911494</v>
      </c>
      <c r="S14" s="4" t="s">
        <v>69</v>
      </c>
      <c r="T14" s="4"/>
      <c r="U14" s="4">
        <v>0.375608</v>
      </c>
      <c r="V14" s="4">
        <v>798756413.238554</v>
      </c>
      <c r="W14" s="4">
        <v>1</v>
      </c>
      <c r="X14" s="6" t="s">
        <v>141</v>
      </c>
      <c r="Y14" s="4"/>
      <c r="Z14" s="13"/>
      <c r="AA14" s="19">
        <f>(H14/12)/G14</f>
        <v>16152663.02068273</v>
      </c>
      <c r="AB14" s="19" t="str">
        <f>IF(OR(AA14&lt;2317601,AA14&gt;(5*2317601)),"perbaiki","ok")</f>
        <v>perbaiki</v>
      </c>
      <c r="AC14" s="38"/>
      <c r="AD14" s="21">
        <f t="shared" si="0"/>
        <v>16152663.02068273</v>
      </c>
      <c r="AE14" s="19">
        <f>I14</f>
        <v>137570483067</v>
      </c>
      <c r="AF14" s="44">
        <v>-21345064401.360001</v>
      </c>
      <c r="AG14" s="21">
        <f t="shared" si="15"/>
        <v>116225418665.64</v>
      </c>
      <c r="AH14" s="19">
        <f>J14</f>
        <v>0</v>
      </c>
      <c r="AI14" s="20"/>
      <c r="AJ14" s="21">
        <f>AI14+AH14</f>
        <v>0</v>
      </c>
      <c r="AK14" s="19">
        <f>K14</f>
        <v>69405571771</v>
      </c>
      <c r="AL14" s="20"/>
      <c r="AM14" s="21">
        <f>AL14+AK14</f>
        <v>69405571771</v>
      </c>
      <c r="AN14" s="19">
        <f>L14</f>
        <v>6182723680</v>
      </c>
      <c r="AO14" s="20"/>
      <c r="AP14" s="21">
        <f>AO14+AN14</f>
        <v>6182723680</v>
      </c>
      <c r="AQ14" s="19">
        <f>N14</f>
        <v>331483911494</v>
      </c>
      <c r="AR14" s="20"/>
      <c r="AS14" s="21">
        <f>AR14+AQ14</f>
        <v>331483911494</v>
      </c>
      <c r="AT14" s="19">
        <f>O14</f>
        <v>864558213</v>
      </c>
      <c r="AU14" s="20"/>
      <c r="AV14" s="21">
        <f>AU14+AT14</f>
        <v>864558213</v>
      </c>
      <c r="AW14" s="19">
        <f>AS14-AJ14</f>
        <v>331483911494</v>
      </c>
      <c r="AX14" s="19">
        <f>AG14+AM14</f>
        <v>185630990436.64001</v>
      </c>
      <c r="AY14" s="19">
        <f>AW14-AX14</f>
        <v>145852921057.35999</v>
      </c>
      <c r="AZ14" s="22">
        <f>AY14/AW14</f>
        <v>0.43999999999999995</v>
      </c>
      <c r="BA14" s="22" t="str">
        <f>IF(AND(VALUE(AZ14)&gt;=(BB14-0.03), VALUE(AZ14)&lt;=(BC14+0.03)), "dalam range", "luar range")</f>
        <v>dalam range</v>
      </c>
      <c r="BB14" s="27">
        <v>0.44</v>
      </c>
      <c r="BC14" s="27">
        <v>0.56999999999999995</v>
      </c>
      <c r="BD14" s="23" t="str">
        <f>IF(AND(VALUE(U14)&gt;=(BB14-0.03), VALUE(U14)&lt;=(BC14+0.03)), "#0", "Adjustment")</f>
        <v>Adjustment</v>
      </c>
      <c r="BE14" s="13"/>
      <c r="BF14" s="46" t="s">
        <v>78</v>
      </c>
      <c r="BG14" s="25" t="str">
        <f t="shared" si="1"/>
        <v/>
      </c>
      <c r="BH14" s="4">
        <f>IF(AF13="","",IF(D14="2026",(AG14/12),AG14))</f>
        <v>116225418665.64</v>
      </c>
      <c r="BI14" s="4" t="str">
        <f t="shared" si="3"/>
        <v/>
      </c>
      <c r="BJ14" s="4" t="str">
        <f t="shared" si="4"/>
        <v/>
      </c>
      <c r="BK14" s="4" t="str">
        <f t="shared" si="5"/>
        <v/>
      </c>
      <c r="BL14" s="4" t="str">
        <f t="shared" si="6"/>
        <v/>
      </c>
      <c r="BM14" s="4" t="str">
        <f t="shared" si="7"/>
        <v/>
      </c>
      <c r="BN14" s="42" t="str">
        <f t="shared" si="8"/>
        <v>#0</v>
      </c>
      <c r="BO14" s="42" t="str">
        <f t="shared" si="9"/>
        <v>#3</v>
      </c>
      <c r="BP14" s="42" t="str">
        <f t="shared" si="10"/>
        <v>#0</v>
      </c>
      <c r="BQ14" s="42" t="str">
        <f t="shared" si="11"/>
        <v>#0</v>
      </c>
      <c r="BR14" s="42" t="str">
        <f t="shared" si="12"/>
        <v>#0</v>
      </c>
      <c r="BS14" s="42" t="str">
        <f t="shared" si="13"/>
        <v>#0</v>
      </c>
      <c r="BT14" s="42" t="str">
        <f t="shared" si="14"/>
        <v>#0</v>
      </c>
      <c r="BU14" s="10" t="b">
        <v>1</v>
      </c>
      <c r="BV14" s="10" t="b">
        <v>0</v>
      </c>
    </row>
    <row r="15" spans="1:74" ht="15">
      <c r="A15" s="4" t="s">
        <v>63</v>
      </c>
      <c r="B15" s="4" t="s">
        <v>64</v>
      </c>
      <c r="C15" s="4" t="s">
        <v>132</v>
      </c>
      <c r="D15" s="4" t="s">
        <v>142</v>
      </c>
      <c r="E15" s="4" t="s">
        <v>143</v>
      </c>
      <c r="F15" s="4" t="s">
        <v>144</v>
      </c>
      <c r="G15" s="4">
        <v>24</v>
      </c>
      <c r="H15" s="5">
        <v>4695767528</v>
      </c>
      <c r="I15" s="5">
        <v>1689763017</v>
      </c>
      <c r="J15" s="5">
        <v>0</v>
      </c>
      <c r="K15" s="5">
        <v>1671960207</v>
      </c>
      <c r="L15" s="5">
        <v>2031767527</v>
      </c>
      <c r="M15" s="5">
        <v>10089258279</v>
      </c>
      <c r="N15" s="5">
        <v>112520848492</v>
      </c>
      <c r="O15" s="5">
        <v>1840300302</v>
      </c>
      <c r="P15" s="5">
        <v>109159125268</v>
      </c>
      <c r="Q15" s="5">
        <v>11493341123</v>
      </c>
      <c r="R15" s="5">
        <v>112520848492</v>
      </c>
      <c r="S15" s="4" t="s">
        <v>69</v>
      </c>
      <c r="T15" s="4"/>
      <c r="U15" s="4">
        <v>0.97012399999999999</v>
      </c>
      <c r="V15" s="4">
        <v>4688368687.1666603</v>
      </c>
      <c r="W15" s="4">
        <v>1</v>
      </c>
      <c r="X15" s="6" t="s">
        <v>145</v>
      </c>
      <c r="Y15" s="4"/>
      <c r="Z15" s="13"/>
      <c r="AA15" s="19">
        <f>(H15/12)/G15</f>
        <v>16304748.361111112</v>
      </c>
      <c r="AB15" s="19" t="str">
        <f>IF(OR(AA15&lt;2317601,AA15&gt;(5*2317601)),"perbaiki","ok")</f>
        <v>perbaiki</v>
      </c>
      <c r="AC15" s="38"/>
      <c r="AD15" s="21">
        <f t="shared" si="0"/>
        <v>16304748.361111112</v>
      </c>
      <c r="AE15" s="19">
        <f>I15</f>
        <v>1689763017</v>
      </c>
      <c r="AF15" s="38"/>
      <c r="AG15" s="21">
        <f t="shared" si="15"/>
        <v>1689763017</v>
      </c>
      <c r="AH15" s="19">
        <f>J15</f>
        <v>0</v>
      </c>
      <c r="AI15" s="20"/>
      <c r="AJ15" s="21">
        <f>AI15+AH15</f>
        <v>0</v>
      </c>
      <c r="AK15" s="19">
        <f>K15</f>
        <v>1671960207</v>
      </c>
      <c r="AL15" s="44">
        <v>45022241627.559998</v>
      </c>
      <c r="AM15" s="21">
        <f>AL15+AK15</f>
        <v>46694201834.559998</v>
      </c>
      <c r="AN15" s="19">
        <f>L15</f>
        <v>2031767527</v>
      </c>
      <c r="AO15" s="20"/>
      <c r="AP15" s="21">
        <f>AO15+AN15</f>
        <v>2031767527</v>
      </c>
      <c r="AQ15" s="19">
        <f>N15</f>
        <v>112520848492</v>
      </c>
      <c r="AR15" s="20"/>
      <c r="AS15" s="21">
        <f>AR15+AQ15</f>
        <v>112520848492</v>
      </c>
      <c r="AT15" s="19">
        <f>O15</f>
        <v>1840300302</v>
      </c>
      <c r="AU15" s="20"/>
      <c r="AV15" s="21">
        <f>AU15+AT15</f>
        <v>1840300302</v>
      </c>
      <c r="AW15" s="19">
        <f>AS15-AJ15</f>
        <v>112520848492</v>
      </c>
      <c r="AX15" s="19">
        <f>AG15+AM15</f>
        <v>48383964851.559998</v>
      </c>
      <c r="AY15" s="19">
        <f>AW15-AX15</f>
        <v>64136883640.440002</v>
      </c>
      <c r="AZ15" s="22">
        <f>AY15/AW15</f>
        <v>0.57000000000000006</v>
      </c>
      <c r="BA15" s="22" t="str">
        <f>IF(AND(VALUE(AZ15)&gt;=(BB15-0.03), VALUE(AZ15)&lt;=(BC15+0.03)), "dalam range", "luar range")</f>
        <v>dalam range</v>
      </c>
      <c r="BB15" s="27">
        <v>0.44</v>
      </c>
      <c r="BC15" s="27">
        <v>0.56999999999999995</v>
      </c>
      <c r="BD15" s="23" t="str">
        <f>IF(AND(VALUE(U15)&gt;=(BB15-0.03), VALUE(U15)&lt;=(BC15+0.03)), "#0", "Adjustment")</f>
        <v>Adjustment</v>
      </c>
      <c r="BE15" s="13"/>
      <c r="BF15" s="46">
        <v>71109</v>
      </c>
      <c r="BG15" s="25" t="str">
        <f t="shared" si="1"/>
        <v/>
      </c>
      <c r="BH15" s="4">
        <f>IF(AF14="","",IF(D15="2026",(AG15/12),AG15))</f>
        <v>1689763017</v>
      </c>
      <c r="BI15" s="4" t="str">
        <f t="shared" si="3"/>
        <v/>
      </c>
      <c r="BJ15" s="4">
        <f t="shared" si="4"/>
        <v>46694201834.559998</v>
      </c>
      <c r="BK15" s="4" t="str">
        <f t="shared" si="5"/>
        <v/>
      </c>
      <c r="BL15" s="4" t="str">
        <f t="shared" si="6"/>
        <v/>
      </c>
      <c r="BM15" s="4" t="str">
        <f t="shared" si="7"/>
        <v/>
      </c>
      <c r="BN15" s="42" t="str">
        <f t="shared" si="8"/>
        <v>#0</v>
      </c>
      <c r="BO15" s="42" t="str">
        <f t="shared" si="9"/>
        <v>#3</v>
      </c>
      <c r="BP15" s="42" t="str">
        <f t="shared" si="10"/>
        <v>#0</v>
      </c>
      <c r="BQ15" s="42" t="str">
        <f t="shared" si="11"/>
        <v>#3</v>
      </c>
      <c r="BR15" s="42" t="str">
        <f t="shared" si="12"/>
        <v>#0</v>
      </c>
      <c r="BS15" s="42" t="str">
        <f t="shared" si="13"/>
        <v>#0</v>
      </c>
      <c r="BT15" s="42" t="str">
        <f t="shared" si="14"/>
        <v>#0</v>
      </c>
      <c r="BU15" s="10" t="b">
        <v>1</v>
      </c>
      <c r="BV15" s="10" t="b">
        <v>0</v>
      </c>
    </row>
    <row r="16" spans="1:74" ht="15">
      <c r="A16" s="4" t="s">
        <v>63</v>
      </c>
      <c r="B16" s="4" t="s">
        <v>64</v>
      </c>
      <c r="C16" s="4" t="s">
        <v>94</v>
      </c>
      <c r="D16" s="4" t="s">
        <v>66</v>
      </c>
      <c r="E16" s="4" t="s">
        <v>146</v>
      </c>
      <c r="F16" s="4" t="s">
        <v>147</v>
      </c>
      <c r="G16" s="4">
        <v>40</v>
      </c>
      <c r="H16" s="5">
        <v>4080000000</v>
      </c>
      <c r="I16" s="5">
        <v>0</v>
      </c>
      <c r="J16" s="5">
        <v>0</v>
      </c>
      <c r="K16" s="5">
        <v>40000000000</v>
      </c>
      <c r="L16" s="5">
        <v>0</v>
      </c>
      <c r="M16" s="5">
        <v>44080000000</v>
      </c>
      <c r="N16" s="5">
        <v>65000000000</v>
      </c>
      <c r="O16" s="5">
        <v>0</v>
      </c>
      <c r="P16" s="5">
        <v>25000000000</v>
      </c>
      <c r="Q16" s="5">
        <v>57500000000</v>
      </c>
      <c r="R16" s="5">
        <v>65000000000</v>
      </c>
      <c r="S16" s="4" t="s">
        <v>69</v>
      </c>
      <c r="T16" s="4" t="s">
        <v>70</v>
      </c>
      <c r="U16" s="4">
        <v>0.38461499999999998</v>
      </c>
      <c r="V16" s="4">
        <v>1625000000</v>
      </c>
      <c r="W16" s="4">
        <v>1</v>
      </c>
      <c r="X16" s="6" t="s">
        <v>148</v>
      </c>
      <c r="Y16" s="4" t="s">
        <v>149</v>
      </c>
      <c r="Z16" s="13"/>
      <c r="AA16" s="19">
        <f>(H16/12)/G16</f>
        <v>8500000</v>
      </c>
      <c r="AB16" s="19" t="str">
        <f>IF(OR(AA16&lt;2317601,AA16&gt;(5*2317601)),"perbaiki","ok")</f>
        <v>ok</v>
      </c>
      <c r="AC16" s="38"/>
      <c r="AD16" s="21">
        <f t="shared" si="0"/>
        <v>8500000</v>
      </c>
      <c r="AE16" s="19">
        <f>I16</f>
        <v>0</v>
      </c>
      <c r="AF16" s="38"/>
      <c r="AG16" s="21">
        <f t="shared" si="15"/>
        <v>0</v>
      </c>
      <c r="AH16" s="19">
        <f>J16</f>
        <v>0</v>
      </c>
      <c r="AI16" s="20"/>
      <c r="AJ16" s="21">
        <f>AI16+AH16</f>
        <v>0</v>
      </c>
      <c r="AK16" s="19">
        <f>K16</f>
        <v>40000000000</v>
      </c>
      <c r="AL16" s="44">
        <v>-3600000000</v>
      </c>
      <c r="AM16" s="21">
        <f>AL16+AK16</f>
        <v>36400000000</v>
      </c>
      <c r="AN16" s="19">
        <f>L16</f>
        <v>0</v>
      </c>
      <c r="AO16" s="20"/>
      <c r="AP16" s="21">
        <f>AO16+AN16</f>
        <v>0</v>
      </c>
      <c r="AQ16" s="19">
        <f>N16</f>
        <v>65000000000</v>
      </c>
      <c r="AR16" s="20"/>
      <c r="AS16" s="21">
        <f>AR16+AQ16</f>
        <v>65000000000</v>
      </c>
      <c r="AT16" s="19">
        <f>O16</f>
        <v>0</v>
      </c>
      <c r="AU16" s="20"/>
      <c r="AV16" s="21">
        <f>AU16+AT16</f>
        <v>0</v>
      </c>
      <c r="AW16" s="19">
        <f>AS16-AJ16</f>
        <v>65000000000</v>
      </c>
      <c r="AX16" s="19">
        <f>AG16+AM16</f>
        <v>36400000000</v>
      </c>
      <c r="AY16" s="19">
        <f>AW16-AX16</f>
        <v>28600000000</v>
      </c>
      <c r="AZ16" s="22">
        <f>AY16/AW16</f>
        <v>0.44</v>
      </c>
      <c r="BA16" s="22" t="str">
        <f>IF(AND(VALUE(AZ16)&gt;=(BB16-0.03), VALUE(AZ16)&lt;=(BC16+0.03)), "dalam range", "luar range")</f>
        <v>dalam range</v>
      </c>
      <c r="BB16" s="27">
        <v>0.44</v>
      </c>
      <c r="BC16" s="27">
        <v>0.56999999999999995</v>
      </c>
      <c r="BD16" s="23" t="str">
        <f>IF(AND(VALUE(U16)&gt;=(BB16-0.03), VALUE(U16)&lt;=(BC16+0.03)), "#0", "Adjustment")</f>
        <v>Adjustment</v>
      </c>
      <c r="BE16" s="13"/>
      <c r="BF16" s="46">
        <v>72201</v>
      </c>
      <c r="BG16" s="25" t="str">
        <f t="shared" si="1"/>
        <v/>
      </c>
      <c r="BH16" s="4" t="str">
        <f>IF(AF15="","",IF(D16="2026",(AG16/12),AG16))</f>
        <v/>
      </c>
      <c r="BI16" s="4" t="str">
        <f t="shared" si="3"/>
        <v/>
      </c>
      <c r="BJ16" s="4">
        <f t="shared" si="4"/>
        <v>36400000000</v>
      </c>
      <c r="BK16" s="4" t="str">
        <f t="shared" si="5"/>
        <v/>
      </c>
      <c r="BL16" s="4" t="str">
        <f t="shared" si="6"/>
        <v/>
      </c>
      <c r="BM16" s="4" t="str">
        <f t="shared" si="7"/>
        <v/>
      </c>
      <c r="BN16" s="42" t="str">
        <f t="shared" si="8"/>
        <v>#0</v>
      </c>
      <c r="BO16" s="42" t="str">
        <f t="shared" si="9"/>
        <v>#0</v>
      </c>
      <c r="BP16" s="42" t="str">
        <f t="shared" si="10"/>
        <v>#0</v>
      </c>
      <c r="BQ16" s="42" t="str">
        <f t="shared" si="11"/>
        <v>#3</v>
      </c>
      <c r="BR16" s="42" t="str">
        <f t="shared" si="12"/>
        <v>#0</v>
      </c>
      <c r="BS16" s="42" t="str">
        <f t="shared" si="13"/>
        <v>#0</v>
      </c>
      <c r="BT16" s="42" t="str">
        <f t="shared" si="14"/>
        <v>#0</v>
      </c>
      <c r="BU16" s="10" t="b">
        <v>1</v>
      </c>
      <c r="BV16" s="10" t="b">
        <v>0</v>
      </c>
    </row>
    <row r="17" spans="1:74" ht="15">
      <c r="A17" s="4" t="s">
        <v>125</v>
      </c>
      <c r="B17" s="4" t="s">
        <v>64</v>
      </c>
      <c r="C17" s="4" t="s">
        <v>132</v>
      </c>
      <c r="D17" s="4" t="s">
        <v>150</v>
      </c>
      <c r="E17" s="4" t="s">
        <v>151</v>
      </c>
      <c r="F17" s="4" t="s">
        <v>152</v>
      </c>
      <c r="G17" s="4">
        <v>45</v>
      </c>
      <c r="H17" s="5">
        <v>12295107440</v>
      </c>
      <c r="I17" s="5">
        <v>128191998968</v>
      </c>
      <c r="J17" s="5">
        <v>0</v>
      </c>
      <c r="K17" s="5">
        <v>26968581</v>
      </c>
      <c r="L17" s="5">
        <v>4803426607</v>
      </c>
      <c r="M17" s="5">
        <v>145317501596</v>
      </c>
      <c r="N17" s="5">
        <v>155973468558</v>
      </c>
      <c r="O17" s="5">
        <v>73924413545</v>
      </c>
      <c r="P17" s="5">
        <v>27754501009</v>
      </c>
      <c r="Q17" s="5">
        <v>18679217488</v>
      </c>
      <c r="R17" s="5">
        <v>155973468558</v>
      </c>
      <c r="S17" s="4" t="s">
        <v>69</v>
      </c>
      <c r="T17" s="4" t="s">
        <v>70</v>
      </c>
      <c r="U17" s="4">
        <v>0.17794399999999999</v>
      </c>
      <c r="V17" s="4">
        <v>3466077079.0666599</v>
      </c>
      <c r="W17" s="4">
        <v>1</v>
      </c>
      <c r="X17" s="6" t="s">
        <v>153</v>
      </c>
      <c r="Y17" s="4"/>
      <c r="Z17" s="13"/>
      <c r="AA17" s="19">
        <f>(H17/12)/G17</f>
        <v>22768717.481481481</v>
      </c>
      <c r="AB17" s="19" t="str">
        <f>IF(OR(AA17&lt;2317601,AA17&gt;(5*2317601)),"perbaiki","ok")</f>
        <v>perbaiki</v>
      </c>
      <c r="AC17" s="38"/>
      <c r="AD17" s="21">
        <f t="shared" si="0"/>
        <v>22768717.481481481</v>
      </c>
      <c r="AE17" s="19">
        <f>I17</f>
        <v>128191998968</v>
      </c>
      <c r="AF17" s="44">
        <v>-40873825156.519997</v>
      </c>
      <c r="AG17" s="21">
        <f t="shared" si="15"/>
        <v>87318173811.480011</v>
      </c>
      <c r="AH17" s="19">
        <f>J17</f>
        <v>0</v>
      </c>
      <c r="AI17" s="20"/>
      <c r="AJ17" s="21">
        <f>AI17+AH17</f>
        <v>0</v>
      </c>
      <c r="AK17" s="19">
        <f>K17</f>
        <v>26968581</v>
      </c>
      <c r="AL17" s="20"/>
      <c r="AM17" s="21">
        <f>AL17+AK17</f>
        <v>26968581</v>
      </c>
      <c r="AN17" s="19">
        <f>L17</f>
        <v>4803426607</v>
      </c>
      <c r="AO17" s="20"/>
      <c r="AP17" s="21">
        <f>AO17+AN17</f>
        <v>4803426607</v>
      </c>
      <c r="AQ17" s="19">
        <f>N17</f>
        <v>155973468558</v>
      </c>
      <c r="AR17" s="20"/>
      <c r="AS17" s="21">
        <f>AR17+AQ17</f>
        <v>155973468558</v>
      </c>
      <c r="AT17" s="19">
        <f>O17</f>
        <v>73924413545</v>
      </c>
      <c r="AU17" s="20"/>
      <c r="AV17" s="21">
        <f>AU17+AT17</f>
        <v>73924413545</v>
      </c>
      <c r="AW17" s="19">
        <f>AS17-AJ17</f>
        <v>155973468558</v>
      </c>
      <c r="AX17" s="19">
        <f>AG17+AM17</f>
        <v>87345142392.480011</v>
      </c>
      <c r="AY17" s="19">
        <f>AW17-AX17</f>
        <v>68628326165.519989</v>
      </c>
      <c r="AZ17" s="22">
        <f>AY17/AW17</f>
        <v>0.43999999999999995</v>
      </c>
      <c r="BA17" s="22" t="str">
        <f>IF(AND(VALUE(AZ17)&gt;=(BB17-0.03), VALUE(AZ17)&lt;=(BC17+0.03)), "dalam range", "luar range")</f>
        <v>dalam range</v>
      </c>
      <c r="BB17" s="27">
        <v>0.44</v>
      </c>
      <c r="BC17" s="27">
        <v>0.56999999999999995</v>
      </c>
      <c r="BD17" s="23" t="str">
        <f>IF(AND(VALUE(U17)&gt;=(BB17-0.03), VALUE(U17)&lt;=(BC17+0.03)), "#0", "Adjustment")</f>
        <v>Adjustment</v>
      </c>
      <c r="BE17" s="13"/>
      <c r="BF17" s="46">
        <v>71109</v>
      </c>
      <c r="BG17" s="25" t="str">
        <f t="shared" si="1"/>
        <v/>
      </c>
      <c r="BH17" s="4" t="str">
        <f>IF(AF16="","",IF(D17="2026",(AG17/12),AG17))</f>
        <v/>
      </c>
      <c r="BI17" s="4" t="str">
        <f t="shared" si="3"/>
        <v/>
      </c>
      <c r="BJ17" s="4" t="str">
        <f t="shared" si="4"/>
        <v/>
      </c>
      <c r="BK17" s="4" t="str">
        <f t="shared" si="5"/>
        <v/>
      </c>
      <c r="BL17" s="4" t="str">
        <f t="shared" si="6"/>
        <v/>
      </c>
      <c r="BM17" s="4" t="str">
        <f t="shared" si="7"/>
        <v/>
      </c>
      <c r="BN17" s="42" t="str">
        <f t="shared" si="8"/>
        <v>#0</v>
      </c>
      <c r="BO17" s="42" t="str">
        <f t="shared" si="9"/>
        <v>#0</v>
      </c>
      <c r="BP17" s="42" t="str">
        <f t="shared" si="10"/>
        <v>#0</v>
      </c>
      <c r="BQ17" s="42" t="str">
        <f t="shared" si="11"/>
        <v>#0</v>
      </c>
      <c r="BR17" s="42" t="str">
        <f t="shared" si="12"/>
        <v>#0</v>
      </c>
      <c r="BS17" s="42" t="str">
        <f t="shared" si="13"/>
        <v>#0</v>
      </c>
      <c r="BT17" s="42" t="str">
        <f t="shared" si="14"/>
        <v>#0</v>
      </c>
      <c r="BU17" s="10" t="b">
        <v>1</v>
      </c>
      <c r="BV17" s="10" t="b">
        <v>0</v>
      </c>
    </row>
    <row r="18" spans="1:74" ht="15">
      <c r="A18" s="4" t="s">
        <v>63</v>
      </c>
      <c r="B18" s="4" t="s">
        <v>64</v>
      </c>
      <c r="C18" s="4" t="s">
        <v>154</v>
      </c>
      <c r="D18" s="4" t="s">
        <v>155</v>
      </c>
      <c r="E18" s="4" t="s">
        <v>156</v>
      </c>
      <c r="F18" s="4" t="s">
        <v>157</v>
      </c>
      <c r="G18" s="4">
        <v>245</v>
      </c>
      <c r="H18" s="5">
        <v>48095749210</v>
      </c>
      <c r="I18" s="5">
        <v>0</v>
      </c>
      <c r="J18" s="5">
        <v>0</v>
      </c>
      <c r="K18" s="5">
        <v>14471249403</v>
      </c>
      <c r="L18" s="5">
        <v>3629454887</v>
      </c>
      <c r="M18" s="5">
        <v>66196453500</v>
      </c>
      <c r="N18" s="5">
        <v>68152730976</v>
      </c>
      <c r="O18" s="5">
        <v>536911529</v>
      </c>
      <c r="P18" s="5">
        <v>53681481573</v>
      </c>
      <c r="Q18" s="5">
        <v>53604708384</v>
      </c>
      <c r="R18" s="5">
        <v>68152730976</v>
      </c>
      <c r="S18" s="4" t="s">
        <v>69</v>
      </c>
      <c r="T18" s="4" t="s">
        <v>70</v>
      </c>
      <c r="U18" s="4">
        <v>0.78766400000000003</v>
      </c>
      <c r="V18" s="4">
        <v>278174412.14693898</v>
      </c>
      <c r="W18" s="4">
        <v>1</v>
      </c>
      <c r="X18" s="6" t="s">
        <v>158</v>
      </c>
      <c r="Y18" s="4" t="s">
        <v>159</v>
      </c>
      <c r="Z18" s="13"/>
      <c r="AA18" s="19">
        <f>(H18/12)/G18</f>
        <v>16359098.3707483</v>
      </c>
      <c r="AB18" s="19" t="str">
        <f>IF(OR(AA18&lt;2317601,AA18&gt;(5*2317601)),"perbaiki","ok")</f>
        <v>perbaiki</v>
      </c>
      <c r="AC18" s="38"/>
      <c r="AD18" s="21">
        <f t="shared" si="0"/>
        <v>16359098.3707483</v>
      </c>
      <c r="AE18" s="19">
        <f>I18</f>
        <v>0</v>
      </c>
      <c r="AF18" s="44">
        <v>14834424916.68</v>
      </c>
      <c r="AG18" s="21">
        <f t="shared" si="15"/>
        <v>14834424916.68</v>
      </c>
      <c r="AH18" s="19">
        <f>J18</f>
        <v>0</v>
      </c>
      <c r="AI18" s="20"/>
      <c r="AJ18" s="21">
        <f>AI18+AH18</f>
        <v>0</v>
      </c>
      <c r="AK18" s="19">
        <f>K18</f>
        <v>14471249403</v>
      </c>
      <c r="AL18" s="20"/>
      <c r="AM18" s="21">
        <f>AL18+AK18</f>
        <v>14471249403</v>
      </c>
      <c r="AN18" s="19">
        <f>L18</f>
        <v>3629454887</v>
      </c>
      <c r="AO18" s="20"/>
      <c r="AP18" s="21">
        <f>AO18+AN18</f>
        <v>3629454887</v>
      </c>
      <c r="AQ18" s="19">
        <f>N18</f>
        <v>68152730976</v>
      </c>
      <c r="AR18" s="20"/>
      <c r="AS18" s="21">
        <f>AR18+AQ18</f>
        <v>68152730976</v>
      </c>
      <c r="AT18" s="19">
        <f>O18</f>
        <v>536911529</v>
      </c>
      <c r="AU18" s="20"/>
      <c r="AV18" s="21">
        <f>AU18+AT18</f>
        <v>536911529</v>
      </c>
      <c r="AW18" s="19">
        <f>AS18-AJ18</f>
        <v>68152730976</v>
      </c>
      <c r="AX18" s="19">
        <f>AG18+AM18</f>
        <v>29305674319.68</v>
      </c>
      <c r="AY18" s="19">
        <f>AW18-AX18</f>
        <v>38847056656.32</v>
      </c>
      <c r="AZ18" s="22">
        <f>AY18/AW18</f>
        <v>0.56999999999999995</v>
      </c>
      <c r="BA18" s="22" t="str">
        <f>IF(AND(VALUE(AZ18)&gt;=(BB18-0.03), VALUE(AZ18)&lt;=(BC18+0.03)), "dalam range", "luar range")</f>
        <v>dalam range</v>
      </c>
      <c r="BB18" s="27">
        <v>0.44</v>
      </c>
      <c r="BC18" s="27">
        <v>0.56999999999999995</v>
      </c>
      <c r="BD18" s="23" t="str">
        <f>IF(AND(VALUE(U18)&gt;=(BB18-0.03), VALUE(U18)&lt;=(BC18+0.03)), "#0", "Adjustment")</f>
        <v>Adjustment</v>
      </c>
      <c r="BE18" s="13"/>
      <c r="BF18" s="46">
        <v>71109</v>
      </c>
      <c r="BG18" s="25" t="str">
        <f t="shared" si="1"/>
        <v/>
      </c>
      <c r="BH18" s="4">
        <f>IF(AF17="","",IF(D18="2026",(AG18/12),AG18))</f>
        <v>14834424916.68</v>
      </c>
      <c r="BI18" s="4" t="str">
        <f t="shared" si="3"/>
        <v/>
      </c>
      <c r="BJ18" s="4" t="str">
        <f t="shared" si="4"/>
        <v/>
      </c>
      <c r="BK18" s="4" t="str">
        <f t="shared" si="5"/>
        <v/>
      </c>
      <c r="BL18" s="4" t="str">
        <f t="shared" si="6"/>
        <v/>
      </c>
      <c r="BM18" s="4" t="str">
        <f t="shared" si="7"/>
        <v/>
      </c>
      <c r="BN18" s="42" t="str">
        <f t="shared" si="8"/>
        <v>#0</v>
      </c>
      <c r="BO18" s="42" t="str">
        <f t="shared" si="9"/>
        <v>#3</v>
      </c>
      <c r="BP18" s="42" t="str">
        <f t="shared" si="10"/>
        <v>#0</v>
      </c>
      <c r="BQ18" s="42" t="str">
        <f t="shared" si="11"/>
        <v>#0</v>
      </c>
      <c r="BR18" s="42" t="str">
        <f t="shared" si="12"/>
        <v>#0</v>
      </c>
      <c r="BS18" s="42" t="str">
        <f t="shared" si="13"/>
        <v>#0</v>
      </c>
      <c r="BT18" s="42" t="str">
        <f t="shared" si="14"/>
        <v>#0</v>
      </c>
      <c r="BU18" s="10" t="b">
        <v>1</v>
      </c>
      <c r="BV18" s="10" t="b">
        <v>0</v>
      </c>
    </row>
    <row r="19" spans="1:74" ht="15">
      <c r="A19" s="4" t="s">
        <v>63</v>
      </c>
      <c r="B19" s="4" t="s">
        <v>64</v>
      </c>
      <c r="C19" s="4" t="s">
        <v>160</v>
      </c>
      <c r="D19" s="4" t="s">
        <v>150</v>
      </c>
      <c r="E19" s="4" t="s">
        <v>161</v>
      </c>
      <c r="F19" s="4" t="s">
        <v>162</v>
      </c>
      <c r="G19" s="4">
        <v>42</v>
      </c>
      <c r="H19" s="5">
        <v>4800000000</v>
      </c>
      <c r="I19" s="5">
        <v>36000000000</v>
      </c>
      <c r="J19" s="5">
        <v>0</v>
      </c>
      <c r="K19" s="5">
        <v>840000000</v>
      </c>
      <c r="L19" s="5">
        <v>0</v>
      </c>
      <c r="M19" s="5">
        <v>41640000000</v>
      </c>
      <c r="N19" s="5">
        <v>60000000000</v>
      </c>
      <c r="O19" s="5">
        <v>0</v>
      </c>
      <c r="P19" s="5">
        <v>23160000000</v>
      </c>
      <c r="Q19" s="5">
        <v>5000000000</v>
      </c>
      <c r="R19" s="5">
        <v>60000000000</v>
      </c>
      <c r="S19" s="4" t="s">
        <v>69</v>
      </c>
      <c r="T19" s="4" t="s">
        <v>70</v>
      </c>
      <c r="U19" s="4">
        <v>0.38600000000000001</v>
      </c>
      <c r="V19" s="4">
        <v>1428571428.57142</v>
      </c>
      <c r="W19" s="4">
        <v>1</v>
      </c>
      <c r="X19" s="6" t="s">
        <v>163</v>
      </c>
      <c r="Y19" s="4"/>
      <c r="Z19" s="13"/>
      <c r="AA19" s="19">
        <f>(H19/12)/G19</f>
        <v>9523809.5238095243</v>
      </c>
      <c r="AB19" s="19" t="str">
        <f>IF(OR(AA19&lt;2317601,AA19&gt;(5*2317601)),"perbaiki","ok")</f>
        <v>ok</v>
      </c>
      <c r="AC19" s="38"/>
      <c r="AD19" s="21">
        <f t="shared" si="0"/>
        <v>9523809.5238095243</v>
      </c>
      <c r="AE19" s="19">
        <f>I19</f>
        <v>36000000000</v>
      </c>
      <c r="AF19" s="44">
        <v>-3240000000</v>
      </c>
      <c r="AG19" s="21">
        <f t="shared" si="15"/>
        <v>32760000000</v>
      </c>
      <c r="AH19" s="19">
        <f>J19</f>
        <v>0</v>
      </c>
      <c r="AI19" s="20"/>
      <c r="AJ19" s="21">
        <f>AI19+AH19</f>
        <v>0</v>
      </c>
      <c r="AK19" s="19">
        <f>K19</f>
        <v>840000000</v>
      </c>
      <c r="AL19" s="20"/>
      <c r="AM19" s="21">
        <f>AL19+AK19</f>
        <v>840000000</v>
      </c>
      <c r="AN19" s="19">
        <f>L19</f>
        <v>0</v>
      </c>
      <c r="AO19" s="20"/>
      <c r="AP19" s="21">
        <f>AO19+AN19</f>
        <v>0</v>
      </c>
      <c r="AQ19" s="19">
        <f>N19</f>
        <v>60000000000</v>
      </c>
      <c r="AR19" s="20"/>
      <c r="AS19" s="21">
        <f>AR19+AQ19</f>
        <v>60000000000</v>
      </c>
      <c r="AT19" s="19">
        <f>O19</f>
        <v>0</v>
      </c>
      <c r="AU19" s="20"/>
      <c r="AV19" s="21">
        <f>AU19+AT19</f>
        <v>0</v>
      </c>
      <c r="AW19" s="19">
        <f>AS19-AJ19</f>
        <v>60000000000</v>
      </c>
      <c r="AX19" s="19">
        <f>AG19+AM19</f>
        <v>33600000000</v>
      </c>
      <c r="AY19" s="19">
        <f>AW19-AX19</f>
        <v>26400000000</v>
      </c>
      <c r="AZ19" s="22">
        <f>AY19/AW19</f>
        <v>0.44</v>
      </c>
      <c r="BA19" s="22" t="str">
        <f>IF(AND(VALUE(AZ19)&gt;=(BB19-0.03), VALUE(AZ19)&lt;=(BC19+0.03)), "dalam range", "luar range")</f>
        <v>dalam range</v>
      </c>
      <c r="BB19" s="27">
        <v>0.44</v>
      </c>
      <c r="BC19" s="27">
        <v>0.56999999999999995</v>
      </c>
      <c r="BD19" s="23" t="str">
        <f>IF(AND(VALUE(U19)&gt;=(BB19-0.03), VALUE(U19)&lt;=(BC19+0.03)), "#0", "Adjustment")</f>
        <v>Adjustment</v>
      </c>
      <c r="BE19" s="13"/>
      <c r="BF19" s="46">
        <v>14111</v>
      </c>
      <c r="BG19" s="25" t="str">
        <f t="shared" si="1"/>
        <v/>
      </c>
      <c r="BH19" s="4">
        <f>IF(AF18="","",IF(D19="2026",(AG19/12),AG19))</f>
        <v>32760000000</v>
      </c>
      <c r="BI19" s="4" t="str">
        <f t="shared" si="3"/>
        <v/>
      </c>
      <c r="BJ19" s="4" t="str">
        <f t="shared" si="4"/>
        <v/>
      </c>
      <c r="BK19" s="4" t="str">
        <f t="shared" si="5"/>
        <v/>
      </c>
      <c r="BL19" s="4" t="str">
        <f t="shared" si="6"/>
        <v/>
      </c>
      <c r="BM19" s="4" t="str">
        <f t="shared" si="7"/>
        <v/>
      </c>
      <c r="BN19" s="42" t="str">
        <f t="shared" si="8"/>
        <v>#0</v>
      </c>
      <c r="BO19" s="42" t="str">
        <f t="shared" si="9"/>
        <v>#3</v>
      </c>
      <c r="BP19" s="42" t="str">
        <f t="shared" si="10"/>
        <v>#0</v>
      </c>
      <c r="BQ19" s="42" t="str">
        <f t="shared" si="11"/>
        <v>#0</v>
      </c>
      <c r="BR19" s="42" t="str">
        <f t="shared" si="12"/>
        <v>#0</v>
      </c>
      <c r="BS19" s="42" t="str">
        <f t="shared" si="13"/>
        <v>#0</v>
      </c>
      <c r="BT19" s="42" t="str">
        <f t="shared" si="14"/>
        <v>#0</v>
      </c>
      <c r="BU19" s="10" t="b">
        <v>1</v>
      </c>
      <c r="BV19" s="10" t="b">
        <v>0</v>
      </c>
    </row>
    <row r="20" spans="1:74" ht="15">
      <c r="A20" s="4" t="s">
        <v>63</v>
      </c>
      <c r="B20" s="4" t="s">
        <v>64</v>
      </c>
      <c r="C20" s="4" t="s">
        <v>87</v>
      </c>
      <c r="D20" s="4" t="s">
        <v>164</v>
      </c>
      <c r="E20" s="4" t="s">
        <v>165</v>
      </c>
      <c r="F20" s="4" t="s">
        <v>166</v>
      </c>
      <c r="G20" s="4">
        <v>26</v>
      </c>
      <c r="H20" s="5">
        <v>2100000000</v>
      </c>
      <c r="I20" s="5">
        <v>50000000000</v>
      </c>
      <c r="J20" s="5">
        <v>0</v>
      </c>
      <c r="K20" s="5">
        <v>3800000000</v>
      </c>
      <c r="L20" s="5">
        <v>0</v>
      </c>
      <c r="M20" s="5">
        <v>55900000000</v>
      </c>
      <c r="N20" s="5">
        <v>59000000000</v>
      </c>
      <c r="O20" s="5">
        <v>0</v>
      </c>
      <c r="P20" s="5">
        <v>5200000000</v>
      </c>
      <c r="Q20" s="5">
        <v>79130270</v>
      </c>
      <c r="R20" s="5">
        <v>59000000000</v>
      </c>
      <c r="S20" s="4" t="s">
        <v>69</v>
      </c>
      <c r="T20" s="4" t="s">
        <v>70</v>
      </c>
      <c r="U20" s="4">
        <v>8.8136000000000006E-2</v>
      </c>
      <c r="V20" s="4">
        <v>2269230769.2307601</v>
      </c>
      <c r="W20" s="4">
        <v>1</v>
      </c>
      <c r="X20" s="6" t="s">
        <v>167</v>
      </c>
      <c r="Y20" s="4" t="s">
        <v>168</v>
      </c>
      <c r="Z20" s="13"/>
      <c r="AA20" s="19">
        <f>(H20/12)/G20</f>
        <v>6730769.230769231</v>
      </c>
      <c r="AB20" s="19" t="str">
        <f>IF(OR(AA20&lt;2317601,AA20&gt;(5*2317601)),"perbaiki","ok")</f>
        <v>ok</v>
      </c>
      <c r="AC20" s="38"/>
      <c r="AD20" s="21">
        <f t="shared" si="0"/>
        <v>6730769.230769231</v>
      </c>
      <c r="AE20" s="19">
        <f>I20</f>
        <v>50000000000</v>
      </c>
      <c r="AF20" s="44">
        <v>-16960000000</v>
      </c>
      <c r="AG20" s="21">
        <f t="shared" si="15"/>
        <v>33040000000</v>
      </c>
      <c r="AH20" s="19">
        <f>J20</f>
        <v>0</v>
      </c>
      <c r="AI20" s="20"/>
      <c r="AJ20" s="21">
        <f>AI20+AH20</f>
        <v>0</v>
      </c>
      <c r="AK20" s="19">
        <f>K20</f>
        <v>3800000000</v>
      </c>
      <c r="AL20" s="44">
        <v>-3800000000</v>
      </c>
      <c r="AM20" s="21">
        <f>AL20+AK20</f>
        <v>0</v>
      </c>
      <c r="AN20" s="19">
        <f>L20</f>
        <v>0</v>
      </c>
      <c r="AO20" s="20"/>
      <c r="AP20" s="21">
        <f>AO20+AN20</f>
        <v>0</v>
      </c>
      <c r="AQ20" s="19">
        <f>N20</f>
        <v>59000000000</v>
      </c>
      <c r="AR20" s="20"/>
      <c r="AS20" s="21">
        <f>AR20+AQ20</f>
        <v>59000000000</v>
      </c>
      <c r="AT20" s="19">
        <f>O20</f>
        <v>0</v>
      </c>
      <c r="AU20" s="20"/>
      <c r="AV20" s="21">
        <f>AU20+AT20</f>
        <v>0</v>
      </c>
      <c r="AW20" s="19">
        <f>AS20-AJ20</f>
        <v>59000000000</v>
      </c>
      <c r="AX20" s="19">
        <f>AG20+AM20</f>
        <v>33040000000</v>
      </c>
      <c r="AY20" s="19">
        <f>AW20-AX20</f>
        <v>25960000000</v>
      </c>
      <c r="AZ20" s="22">
        <f>AY20/AW20</f>
        <v>0.44</v>
      </c>
      <c r="BA20" s="22" t="str">
        <f>IF(AND(VALUE(AZ20)&gt;=(BB20-0.03), VALUE(AZ20)&lt;=(BC20+0.03)), "dalam range", "luar range")</f>
        <v>dalam range</v>
      </c>
      <c r="BB20" s="27">
        <v>0.44</v>
      </c>
      <c r="BC20" s="27">
        <v>0.56999999999999995</v>
      </c>
      <c r="BD20" s="23" t="str">
        <f>IF(AND(VALUE(U20)&gt;=(BB20-0.03), VALUE(U20)&lt;=(BC20+0.03)), "#0", "Adjustment")</f>
        <v>Adjustment</v>
      </c>
      <c r="BE20" s="13"/>
      <c r="BF20" s="46" t="s">
        <v>78</v>
      </c>
      <c r="BG20" s="25" t="str">
        <f t="shared" si="1"/>
        <v/>
      </c>
      <c r="BH20" s="4">
        <f>IF(AF19="","",IF(D20="2026",(AG20/12),AG20))</f>
        <v>33040000000</v>
      </c>
      <c r="BI20" s="4" t="str">
        <f t="shared" si="3"/>
        <v/>
      </c>
      <c r="BJ20" s="4">
        <f t="shared" si="4"/>
        <v>0</v>
      </c>
      <c r="BK20" s="4" t="str">
        <f t="shared" si="5"/>
        <v/>
      </c>
      <c r="BL20" s="4" t="str">
        <f t="shared" si="6"/>
        <v/>
      </c>
      <c r="BM20" s="4" t="str">
        <f t="shared" si="7"/>
        <v/>
      </c>
      <c r="BN20" s="42" t="str">
        <f t="shared" si="8"/>
        <v>#0</v>
      </c>
      <c r="BO20" s="42" t="str">
        <f t="shared" si="9"/>
        <v>#3</v>
      </c>
      <c r="BP20" s="42" t="str">
        <f t="shared" si="10"/>
        <v>#0</v>
      </c>
      <c r="BQ20" s="42" t="str">
        <f t="shared" si="11"/>
        <v>#3</v>
      </c>
      <c r="BR20" s="42" t="str">
        <f t="shared" si="12"/>
        <v>#0</v>
      </c>
      <c r="BS20" s="42" t="str">
        <f t="shared" si="13"/>
        <v>#0</v>
      </c>
      <c r="BT20" s="42" t="str">
        <f t="shared" si="14"/>
        <v>#0</v>
      </c>
      <c r="BU20" s="10" t="b">
        <v>1</v>
      </c>
      <c r="BV20" s="10" t="b">
        <v>0</v>
      </c>
    </row>
    <row r="21" spans="1:74" s="36" customFormat="1" ht="15">
      <c r="A21" s="28" t="s">
        <v>99</v>
      </c>
      <c r="B21" s="28" t="s">
        <v>64</v>
      </c>
      <c r="C21" s="28" t="s">
        <v>169</v>
      </c>
      <c r="D21" s="28" t="s">
        <v>170</v>
      </c>
      <c r="E21" s="28" t="s">
        <v>171</v>
      </c>
      <c r="F21" s="28" t="s">
        <v>172</v>
      </c>
      <c r="G21" s="28">
        <v>21</v>
      </c>
      <c r="H21" s="29">
        <v>14400000000</v>
      </c>
      <c r="I21" s="29">
        <v>54000000000</v>
      </c>
      <c r="J21" s="29">
        <v>0</v>
      </c>
      <c r="K21" s="29">
        <v>432000000</v>
      </c>
      <c r="L21" s="29">
        <v>0</v>
      </c>
      <c r="M21" s="29">
        <v>68832000000</v>
      </c>
      <c r="N21" s="29">
        <v>84000000000</v>
      </c>
      <c r="O21" s="29">
        <v>0</v>
      </c>
      <c r="P21" s="29">
        <v>29568000000</v>
      </c>
      <c r="Q21" s="29">
        <v>0</v>
      </c>
      <c r="R21" s="29">
        <v>84000000000</v>
      </c>
      <c r="S21" s="28" t="s">
        <v>69</v>
      </c>
      <c r="T21" s="28"/>
      <c r="U21" s="28">
        <v>0.35199999999999998</v>
      </c>
      <c r="V21" s="28">
        <v>4000000000</v>
      </c>
      <c r="W21" s="28">
        <v>1</v>
      </c>
      <c r="X21" s="30" t="s">
        <v>173</v>
      </c>
      <c r="Y21" s="28"/>
      <c r="Z21" s="28"/>
      <c r="AA21" s="31">
        <f>(H21/12)/G21</f>
        <v>57142857.142857142</v>
      </c>
      <c r="AB21" s="31" t="str">
        <f>IF(OR(AA21&lt;2317601,AA21&gt;(5*2317601)),"perbaiki","ok")</f>
        <v>perbaiki</v>
      </c>
      <c r="AC21" s="39">
        <v>-52380952.240000002</v>
      </c>
      <c r="AD21" s="31">
        <f t="shared" si="0"/>
        <v>4761904.9028571397</v>
      </c>
      <c r="AE21" s="31">
        <f>I21</f>
        <v>54000000000</v>
      </c>
      <c r="AF21" s="44">
        <v>-7392000000</v>
      </c>
      <c r="AG21" s="21">
        <f t="shared" si="15"/>
        <v>46608000000</v>
      </c>
      <c r="AH21" s="31">
        <f>J21</f>
        <v>0</v>
      </c>
      <c r="AI21" s="32"/>
      <c r="AJ21" s="31">
        <f>AI21+AH21</f>
        <v>0</v>
      </c>
      <c r="AK21" s="31">
        <f>K21</f>
        <v>432000000</v>
      </c>
      <c r="AL21" s="20"/>
      <c r="AM21" s="31">
        <f>AL21+AK21</f>
        <v>432000000</v>
      </c>
      <c r="AN21" s="31">
        <f>L21</f>
        <v>0</v>
      </c>
      <c r="AO21" s="32"/>
      <c r="AP21" s="31">
        <f>AO21+AN21</f>
        <v>0</v>
      </c>
      <c r="AQ21" s="31">
        <f>N21</f>
        <v>84000000000</v>
      </c>
      <c r="AR21" s="32"/>
      <c r="AS21" s="31">
        <f>AR21+AQ21</f>
        <v>84000000000</v>
      </c>
      <c r="AT21" s="31">
        <f>O21</f>
        <v>0</v>
      </c>
      <c r="AU21" s="32"/>
      <c r="AV21" s="31">
        <f>AU21+AT21</f>
        <v>0</v>
      </c>
      <c r="AW21" s="31">
        <f>AS21-AJ21</f>
        <v>84000000000</v>
      </c>
      <c r="AX21" s="31">
        <f>AG21+AM21</f>
        <v>47040000000</v>
      </c>
      <c r="AY21" s="31">
        <f>AW21-AX21</f>
        <v>36960000000</v>
      </c>
      <c r="AZ21" s="33">
        <f>AY21/AW21</f>
        <v>0.44</v>
      </c>
      <c r="BA21" s="33" t="str">
        <f>IF(AND(VALUE(AZ21)&gt;=(BB21-0.03), VALUE(AZ21)&lt;=(BC21+0.03)), "dalam range", "luar range")</f>
        <v>dalam range</v>
      </c>
      <c r="BB21" s="34">
        <v>0.44</v>
      </c>
      <c r="BC21" s="34">
        <v>0.56999999999999995</v>
      </c>
      <c r="BD21" s="32" t="str">
        <f>IF(AND(VALUE(U21)&gt;=(BB21-0.03), VALUE(U21)&lt;=(BC21+0.03)), "#0", "Adjustment")</f>
        <v>Adjustment</v>
      </c>
      <c r="BE21" s="28"/>
      <c r="BF21" s="47">
        <v>18111</v>
      </c>
      <c r="BG21" s="25">
        <f t="shared" si="1"/>
        <v>100000002.95999993</v>
      </c>
      <c r="BH21" s="28">
        <f>IF(AF20="","",IF(D21="2026",(AG21/12),AG21))</f>
        <v>3884000000</v>
      </c>
      <c r="BI21" s="28" t="str">
        <f t="shared" si="3"/>
        <v/>
      </c>
      <c r="BJ21" s="28" t="str">
        <f t="shared" si="4"/>
        <v/>
      </c>
      <c r="BK21" s="28" t="str">
        <f t="shared" si="5"/>
        <v/>
      </c>
      <c r="BL21" s="28" t="str">
        <f t="shared" si="6"/>
        <v/>
      </c>
      <c r="BM21" s="28" t="str">
        <f t="shared" si="7"/>
        <v/>
      </c>
      <c r="BN21" s="42" t="str">
        <f t="shared" si="8"/>
        <v>#3</v>
      </c>
      <c r="BO21" s="42" t="str">
        <f t="shared" si="9"/>
        <v>#3</v>
      </c>
      <c r="BP21" s="42" t="str">
        <f t="shared" si="10"/>
        <v>#0</v>
      </c>
      <c r="BQ21" s="42" t="str">
        <f t="shared" si="11"/>
        <v>#0</v>
      </c>
      <c r="BR21" s="42" t="str">
        <f t="shared" si="12"/>
        <v>#0</v>
      </c>
      <c r="BS21" s="42" t="str">
        <f t="shared" si="13"/>
        <v>#0</v>
      </c>
      <c r="BT21" s="42" t="str">
        <f t="shared" si="14"/>
        <v>#0</v>
      </c>
      <c r="BU21" s="35" t="b">
        <v>1</v>
      </c>
      <c r="BV21" s="35" t="b">
        <v>0</v>
      </c>
    </row>
    <row r="22" spans="1:74" ht="15">
      <c r="A22" s="4" t="s">
        <v>63</v>
      </c>
      <c r="B22" s="4" t="s">
        <v>64</v>
      </c>
      <c r="C22" s="4" t="s">
        <v>132</v>
      </c>
      <c r="D22" s="4" t="s">
        <v>174</v>
      </c>
      <c r="E22" s="4" t="s">
        <v>175</v>
      </c>
      <c r="F22" s="4" t="s">
        <v>176</v>
      </c>
      <c r="G22" s="4">
        <v>22</v>
      </c>
      <c r="H22" s="5">
        <v>6048000000</v>
      </c>
      <c r="I22" s="5">
        <v>1200000000</v>
      </c>
      <c r="J22" s="5">
        <v>0</v>
      </c>
      <c r="K22" s="5">
        <v>1800000000000</v>
      </c>
      <c r="L22" s="5">
        <v>0</v>
      </c>
      <c r="M22" s="5">
        <v>1807248000000</v>
      </c>
      <c r="N22" s="5">
        <v>2400000000000</v>
      </c>
      <c r="O22" s="5">
        <v>0</v>
      </c>
      <c r="P22" s="5">
        <v>598800000000</v>
      </c>
      <c r="Q22" s="5">
        <v>0</v>
      </c>
      <c r="R22" s="5">
        <v>2400000000000</v>
      </c>
      <c r="S22" s="4" t="s">
        <v>69</v>
      </c>
      <c r="T22" s="4"/>
      <c r="U22" s="4">
        <v>0.2495</v>
      </c>
      <c r="V22" s="4">
        <v>109090909090.909</v>
      </c>
      <c r="W22" s="4">
        <v>1</v>
      </c>
      <c r="X22" s="6" t="s">
        <v>177</v>
      </c>
      <c r="Y22" s="4" t="s">
        <v>178</v>
      </c>
      <c r="Z22" s="13"/>
      <c r="AA22" s="19">
        <f>(H22/12)/G22</f>
        <v>22909090.90909091</v>
      </c>
      <c r="AB22" s="19" t="str">
        <f>IF(OR(AA22&lt;2317601,AA22&gt;(5*2317601)),"perbaiki","ok")</f>
        <v>perbaiki</v>
      </c>
      <c r="AC22" s="38"/>
      <c r="AD22" s="21">
        <f t="shared" si="0"/>
        <v>22909090.90909091</v>
      </c>
      <c r="AE22" s="19">
        <f>I22</f>
        <v>1200000000</v>
      </c>
      <c r="AF22" s="44">
        <v>-1200000000</v>
      </c>
      <c r="AG22" s="21">
        <f t="shared" si="15"/>
        <v>0</v>
      </c>
      <c r="AH22" s="19">
        <f>J22</f>
        <v>0</v>
      </c>
      <c r="AI22" s="20"/>
      <c r="AJ22" s="21">
        <f>AI22+AH22</f>
        <v>0</v>
      </c>
      <c r="AK22" s="19">
        <f>K22</f>
        <v>1800000000000</v>
      </c>
      <c r="AL22" s="44">
        <v>-456000000000</v>
      </c>
      <c r="AM22" s="21">
        <f>AL22+AK22</f>
        <v>1344000000000</v>
      </c>
      <c r="AN22" s="19">
        <f>L22</f>
        <v>0</v>
      </c>
      <c r="AO22" s="20"/>
      <c r="AP22" s="21">
        <f>AO22+AN22</f>
        <v>0</v>
      </c>
      <c r="AQ22" s="19">
        <f>N22</f>
        <v>2400000000000</v>
      </c>
      <c r="AR22" s="20"/>
      <c r="AS22" s="21">
        <f>AR22+AQ22</f>
        <v>2400000000000</v>
      </c>
      <c r="AT22" s="19">
        <f>O22</f>
        <v>0</v>
      </c>
      <c r="AU22" s="20"/>
      <c r="AV22" s="21">
        <f>AU22+AT22</f>
        <v>0</v>
      </c>
      <c r="AW22" s="19">
        <f>AS22-AJ22</f>
        <v>2400000000000</v>
      </c>
      <c r="AX22" s="19">
        <f>AG22+AM22</f>
        <v>1344000000000</v>
      </c>
      <c r="AY22" s="19">
        <f>AW22-AX22</f>
        <v>1056000000000</v>
      </c>
      <c r="AZ22" s="22">
        <f>AY22/AW22</f>
        <v>0.44</v>
      </c>
      <c r="BA22" s="22" t="str">
        <f>IF(AND(VALUE(AZ22)&gt;=(BB22-0.03), VALUE(AZ22)&lt;=(BC22+0.03)), "dalam range", "luar range")</f>
        <v>dalam range</v>
      </c>
      <c r="BB22" s="27">
        <v>0.44</v>
      </c>
      <c r="BC22" s="27">
        <v>0.56999999999999995</v>
      </c>
      <c r="BD22" s="23" t="str">
        <f>IF(AND(VALUE(U22)&gt;=(BB22-0.03), VALUE(U22)&lt;=(BC22+0.03)), "#0", "Adjustment")</f>
        <v>Adjustment</v>
      </c>
      <c r="BE22" s="13"/>
      <c r="BF22" s="46" t="s">
        <v>78</v>
      </c>
      <c r="BG22" s="25" t="str">
        <f t="shared" si="1"/>
        <v/>
      </c>
      <c r="BH22" s="4">
        <f>IF(AF21="","",IF(D22="2026",(AG22/12),AG22))</f>
        <v>0</v>
      </c>
      <c r="BI22" s="4" t="str">
        <f t="shared" si="3"/>
        <v/>
      </c>
      <c r="BJ22" s="4">
        <f t="shared" si="4"/>
        <v>1344000000000</v>
      </c>
      <c r="BK22" s="4" t="str">
        <f t="shared" si="5"/>
        <v/>
      </c>
      <c r="BL22" s="4" t="str">
        <f t="shared" si="6"/>
        <v/>
      </c>
      <c r="BM22" s="4" t="str">
        <f t="shared" si="7"/>
        <v/>
      </c>
      <c r="BN22" s="42" t="str">
        <f t="shared" si="8"/>
        <v>#0</v>
      </c>
      <c r="BO22" s="42" t="str">
        <f t="shared" si="9"/>
        <v>#3</v>
      </c>
      <c r="BP22" s="42" t="str">
        <f t="shared" si="10"/>
        <v>#0</v>
      </c>
      <c r="BQ22" s="42" t="str">
        <f t="shared" si="11"/>
        <v>#3</v>
      </c>
      <c r="BR22" s="42" t="str">
        <f t="shared" si="12"/>
        <v>#0</v>
      </c>
      <c r="BS22" s="42" t="str">
        <f t="shared" si="13"/>
        <v>#0</v>
      </c>
      <c r="BT22" s="42" t="str">
        <f t="shared" si="14"/>
        <v>#0</v>
      </c>
      <c r="BU22" s="10" t="b">
        <v>1</v>
      </c>
      <c r="BV22" s="10" t="b">
        <v>0</v>
      </c>
    </row>
    <row r="23" spans="1:74" ht="15">
      <c r="A23" s="4" t="s">
        <v>179</v>
      </c>
      <c r="B23" s="4" t="s">
        <v>64</v>
      </c>
      <c r="C23" s="4" t="s">
        <v>87</v>
      </c>
      <c r="D23" s="4" t="s">
        <v>180</v>
      </c>
      <c r="E23" s="4" t="s">
        <v>181</v>
      </c>
      <c r="F23" s="4" t="s">
        <v>182</v>
      </c>
      <c r="G23" s="4">
        <v>250</v>
      </c>
      <c r="H23" s="5">
        <v>12200000000</v>
      </c>
      <c r="I23" s="5">
        <v>0</v>
      </c>
      <c r="J23" s="5">
        <v>0</v>
      </c>
      <c r="K23" s="5">
        <v>15700000000</v>
      </c>
      <c r="L23" s="5">
        <v>29100000000</v>
      </c>
      <c r="M23" s="5">
        <v>57000000000</v>
      </c>
      <c r="N23" s="5">
        <v>87200000000</v>
      </c>
      <c r="O23" s="5">
        <v>193000000</v>
      </c>
      <c r="P23" s="5">
        <v>71500000000</v>
      </c>
      <c r="Q23" s="5">
        <v>10000000000</v>
      </c>
      <c r="R23" s="5">
        <v>87200000000</v>
      </c>
      <c r="S23" s="4" t="s">
        <v>69</v>
      </c>
      <c r="T23" s="4" t="s">
        <v>183</v>
      </c>
      <c r="U23" s="4">
        <v>0.81995399999999996</v>
      </c>
      <c r="V23" s="4">
        <v>348800000</v>
      </c>
      <c r="W23" s="4">
        <v>1</v>
      </c>
      <c r="X23" s="6" t="s">
        <v>184</v>
      </c>
      <c r="Y23" s="4"/>
      <c r="Z23" s="13"/>
      <c r="AA23" s="19">
        <f>(H23/12)/G23</f>
        <v>4066666.6666666665</v>
      </c>
      <c r="AB23" s="19" t="str">
        <f>IF(OR(AA23&lt;2317601,AA23&gt;(5*2317601)),"perbaiki","ok")</f>
        <v>ok</v>
      </c>
      <c r="AC23" s="38"/>
      <c r="AD23" s="21">
        <f t="shared" si="0"/>
        <v>4066666.6666666665</v>
      </c>
      <c r="AE23" s="19">
        <f>I23</f>
        <v>0</v>
      </c>
      <c r="AF23" s="38"/>
      <c r="AG23" s="21">
        <f t="shared" si="15"/>
        <v>0</v>
      </c>
      <c r="AH23" s="19">
        <f>J23</f>
        <v>0</v>
      </c>
      <c r="AI23" s="20"/>
      <c r="AJ23" s="21">
        <f>AI23+AH23</f>
        <v>0</v>
      </c>
      <c r="AK23" s="19">
        <f>K23</f>
        <v>15700000000</v>
      </c>
      <c r="AL23" s="44">
        <v>21796000000</v>
      </c>
      <c r="AM23" s="21">
        <f>AL23+AK23</f>
        <v>37496000000</v>
      </c>
      <c r="AN23" s="19">
        <f>L23</f>
        <v>29100000000</v>
      </c>
      <c r="AO23" s="20"/>
      <c r="AP23" s="21">
        <f>AO23+AN23</f>
        <v>29100000000</v>
      </c>
      <c r="AQ23" s="19">
        <f>N23</f>
        <v>87200000000</v>
      </c>
      <c r="AR23" s="20"/>
      <c r="AS23" s="21">
        <f>AR23+AQ23</f>
        <v>87200000000</v>
      </c>
      <c r="AT23" s="19">
        <f>O23</f>
        <v>193000000</v>
      </c>
      <c r="AU23" s="20"/>
      <c r="AV23" s="21">
        <f>AU23+AT23</f>
        <v>193000000</v>
      </c>
      <c r="AW23" s="19">
        <f>AS23-AJ23</f>
        <v>87200000000</v>
      </c>
      <c r="AX23" s="19">
        <f>AG23+AM23</f>
        <v>37496000000</v>
      </c>
      <c r="AY23" s="19">
        <f>AW23-AX23</f>
        <v>49704000000</v>
      </c>
      <c r="AZ23" s="22">
        <f>AY23/AW23</f>
        <v>0.56999999999999995</v>
      </c>
      <c r="BA23" s="22" t="str">
        <f>IF(AND(VALUE(AZ23)&gt;=(BB23-0.03), VALUE(AZ23)&lt;=(BC23+0.03)), "dalam range", "luar range")</f>
        <v>dalam range</v>
      </c>
      <c r="BB23" s="27">
        <v>0.44</v>
      </c>
      <c r="BC23" s="27">
        <v>0.56999999999999995</v>
      </c>
      <c r="BD23" s="23" t="str">
        <f>IF(AND(VALUE(U23)&gt;=(BB23-0.03), VALUE(U23)&lt;=(BC23+0.03)), "#0", "Adjustment")</f>
        <v>Adjustment</v>
      </c>
      <c r="BE23" s="13"/>
      <c r="BF23" s="46" t="s">
        <v>78</v>
      </c>
      <c r="BG23" s="25" t="str">
        <f t="shared" si="1"/>
        <v/>
      </c>
      <c r="BH23" s="4">
        <f>IF(AF22="","",IF(D23="2026",(AG23/12),AG23))</f>
        <v>0</v>
      </c>
      <c r="BI23" s="4" t="str">
        <f t="shared" si="3"/>
        <v/>
      </c>
      <c r="BJ23" s="4">
        <f t="shared" si="4"/>
        <v>37496000000</v>
      </c>
      <c r="BK23" s="4" t="str">
        <f t="shared" si="5"/>
        <v/>
      </c>
      <c r="BL23" s="4" t="str">
        <f t="shared" si="6"/>
        <v/>
      </c>
      <c r="BM23" s="4" t="str">
        <f t="shared" si="7"/>
        <v/>
      </c>
      <c r="BN23" s="42" t="str">
        <f t="shared" si="8"/>
        <v>#0</v>
      </c>
      <c r="BO23" s="42" t="str">
        <f t="shared" si="9"/>
        <v>#3</v>
      </c>
      <c r="BP23" s="42" t="str">
        <f t="shared" si="10"/>
        <v>#0</v>
      </c>
      <c r="BQ23" s="42" t="str">
        <f t="shared" si="11"/>
        <v>#3</v>
      </c>
      <c r="BR23" s="42" t="str">
        <f t="shared" si="12"/>
        <v>#0</v>
      </c>
      <c r="BS23" s="42" t="str">
        <f t="shared" si="13"/>
        <v>#0</v>
      </c>
      <c r="BT23" s="42" t="str">
        <f t="shared" si="14"/>
        <v>#0</v>
      </c>
      <c r="BU23" s="10" t="b">
        <v>1</v>
      </c>
      <c r="BV23" s="10" t="b">
        <v>0</v>
      </c>
    </row>
    <row r="24" spans="1:74" ht="15">
      <c r="A24" s="4" t="s">
        <v>99</v>
      </c>
      <c r="B24" s="4" t="s">
        <v>64</v>
      </c>
      <c r="C24" s="4" t="s">
        <v>87</v>
      </c>
      <c r="D24" s="4" t="s">
        <v>95</v>
      </c>
      <c r="E24" s="4" t="s">
        <v>185</v>
      </c>
      <c r="F24" s="4" t="s">
        <v>186</v>
      </c>
      <c r="G24" s="4">
        <v>8</v>
      </c>
      <c r="H24" s="5">
        <v>11366671067</v>
      </c>
      <c r="I24" s="5">
        <v>0</v>
      </c>
      <c r="J24" s="5">
        <v>0</v>
      </c>
      <c r="K24" s="5">
        <v>23098948813</v>
      </c>
      <c r="L24" s="5">
        <v>0</v>
      </c>
      <c r="M24" s="5">
        <v>34465619880</v>
      </c>
      <c r="N24" s="5">
        <v>256718965853</v>
      </c>
      <c r="O24" s="5">
        <v>733774</v>
      </c>
      <c r="P24" s="5">
        <v>233620017040</v>
      </c>
      <c r="Q24" s="5">
        <v>10000000000</v>
      </c>
      <c r="R24" s="5">
        <v>256718965853</v>
      </c>
      <c r="S24" s="4" t="s">
        <v>69</v>
      </c>
      <c r="T24" s="4"/>
      <c r="U24" s="4">
        <v>0.910022</v>
      </c>
      <c r="V24" s="4">
        <v>32089870731.625</v>
      </c>
      <c r="W24" s="4">
        <v>1</v>
      </c>
      <c r="X24" s="6" t="s">
        <v>187</v>
      </c>
      <c r="Y24" s="4" t="s">
        <v>85</v>
      </c>
      <c r="Z24" s="13"/>
      <c r="AA24" s="19">
        <f>(H24/12)/G24</f>
        <v>118402823.61458333</v>
      </c>
      <c r="AB24" s="19" t="str">
        <f>IF(OR(AA24&lt;2317601,AA24&gt;(5*2317601)),"perbaiki","ok")</f>
        <v>perbaiki</v>
      </c>
      <c r="AC24" s="38">
        <f>AA24/10</f>
        <v>11840282.361458333</v>
      </c>
      <c r="AD24" s="21">
        <f t="shared" si="0"/>
        <v>130243105.97604166</v>
      </c>
      <c r="AE24" s="19">
        <f>I24</f>
        <v>0</v>
      </c>
      <c r="AF24" s="38"/>
      <c r="AG24" s="21">
        <f t="shared" si="15"/>
        <v>0</v>
      </c>
      <c r="AH24" s="19">
        <f>J24</f>
        <v>0</v>
      </c>
      <c r="AI24" s="20"/>
      <c r="AJ24" s="21">
        <f>AI24+AH24</f>
        <v>0</v>
      </c>
      <c r="AK24" s="19">
        <f>K24</f>
        <v>23098948813</v>
      </c>
      <c r="AL24" s="44">
        <v>87290206503.789993</v>
      </c>
      <c r="AM24" s="21">
        <f>AL24+AK24</f>
        <v>110389155316.78999</v>
      </c>
      <c r="AN24" s="19">
        <f>L24</f>
        <v>0</v>
      </c>
      <c r="AO24" s="20"/>
      <c r="AP24" s="21">
        <f>AO24+AN24</f>
        <v>0</v>
      </c>
      <c r="AQ24" s="19">
        <f>N24</f>
        <v>256718965853</v>
      </c>
      <c r="AR24" s="20"/>
      <c r="AS24" s="21">
        <f>AR24+AQ24</f>
        <v>256718965853</v>
      </c>
      <c r="AT24" s="19">
        <f>O24</f>
        <v>733774</v>
      </c>
      <c r="AU24" s="20"/>
      <c r="AV24" s="21">
        <f>AU24+AT24</f>
        <v>733774</v>
      </c>
      <c r="AW24" s="19">
        <f>AS24-AJ24</f>
        <v>256718965853</v>
      </c>
      <c r="AX24" s="19">
        <f>AG24+AM24</f>
        <v>110389155316.78999</v>
      </c>
      <c r="AY24" s="19">
        <f>AW24-AX24</f>
        <v>146329810536.21002</v>
      </c>
      <c r="AZ24" s="22">
        <f>AY24/AW24</f>
        <v>0.57000000000000006</v>
      </c>
      <c r="BA24" s="22" t="str">
        <f>IF(AND(VALUE(AZ24)&gt;=(BB24-0.03), VALUE(AZ24)&lt;=(BC24+0.03)), "dalam range", "luar range")</f>
        <v>dalam range</v>
      </c>
      <c r="BB24" s="27">
        <v>0.44</v>
      </c>
      <c r="BC24" s="27">
        <v>0.56999999999999995</v>
      </c>
      <c r="BD24" s="23" t="str">
        <f>IF(AND(VALUE(U24)&gt;=(BB24-0.03), VALUE(U24)&lt;=(BC24+0.03)), "#0", "Adjustment")</f>
        <v>Adjustment</v>
      </c>
      <c r="BE24" s="13"/>
      <c r="BF24" s="46" t="s">
        <v>78</v>
      </c>
      <c r="BG24" s="25">
        <f t="shared" si="1"/>
        <v>12503338173.699999</v>
      </c>
      <c r="BH24" s="4" t="str">
        <f>IF(AF23="","",IF(D24="2026",(AG24/12),AG24))</f>
        <v/>
      </c>
      <c r="BI24" s="4" t="str">
        <f t="shared" si="3"/>
        <v/>
      </c>
      <c r="BJ24" s="4">
        <f t="shared" si="4"/>
        <v>110389155316.78999</v>
      </c>
      <c r="BK24" s="4" t="str">
        <f t="shared" si="5"/>
        <v/>
      </c>
      <c r="BL24" s="4" t="str">
        <f t="shared" si="6"/>
        <v/>
      </c>
      <c r="BM24" s="4" t="str">
        <f t="shared" si="7"/>
        <v/>
      </c>
      <c r="BN24" s="42" t="str">
        <f t="shared" si="8"/>
        <v>#3</v>
      </c>
      <c r="BO24" s="42" t="str">
        <f t="shared" si="9"/>
        <v>#0</v>
      </c>
      <c r="BP24" s="42" t="str">
        <f t="shared" si="10"/>
        <v>#0</v>
      </c>
      <c r="BQ24" s="42" t="str">
        <f t="shared" si="11"/>
        <v>#3</v>
      </c>
      <c r="BR24" s="42" t="str">
        <f t="shared" si="12"/>
        <v>#0</v>
      </c>
      <c r="BS24" s="42" t="str">
        <f t="shared" si="13"/>
        <v>#0</v>
      </c>
      <c r="BT24" s="42" t="str">
        <f t="shared" si="14"/>
        <v>#0</v>
      </c>
      <c r="BU24" s="10" t="b">
        <v>1</v>
      </c>
      <c r="BV24" s="10" t="b">
        <v>0</v>
      </c>
    </row>
    <row r="25" spans="1:74" ht="15">
      <c r="A25" s="4" t="s">
        <v>99</v>
      </c>
      <c r="B25" s="4" t="s">
        <v>64</v>
      </c>
      <c r="C25" s="4" t="s">
        <v>132</v>
      </c>
      <c r="D25" s="4" t="s">
        <v>188</v>
      </c>
      <c r="E25" s="4" t="s">
        <v>189</v>
      </c>
      <c r="F25" s="4" t="s">
        <v>190</v>
      </c>
      <c r="G25" s="4">
        <v>19</v>
      </c>
      <c r="H25" s="5">
        <v>2994000000</v>
      </c>
      <c r="I25" s="5">
        <v>8950000000</v>
      </c>
      <c r="J25" s="5">
        <v>0</v>
      </c>
      <c r="K25" s="5">
        <v>1418000000</v>
      </c>
      <c r="L25" s="5">
        <v>3080000000</v>
      </c>
      <c r="M25" s="5">
        <v>16442000000</v>
      </c>
      <c r="N25" s="5">
        <v>87700000000</v>
      </c>
      <c r="O25" s="5">
        <v>0</v>
      </c>
      <c r="P25" s="5">
        <v>77332000000</v>
      </c>
      <c r="Q25" s="5">
        <v>16465000000</v>
      </c>
      <c r="R25" s="5">
        <v>87700000000</v>
      </c>
      <c r="S25" s="4" t="s">
        <v>69</v>
      </c>
      <c r="T25" s="4" t="s">
        <v>70</v>
      </c>
      <c r="U25" s="4">
        <v>0.88177899999999998</v>
      </c>
      <c r="V25" s="4">
        <v>4615789473.6842098</v>
      </c>
      <c r="W25" s="4">
        <v>1</v>
      </c>
      <c r="X25" s="6" t="s">
        <v>191</v>
      </c>
      <c r="Y25" s="4" t="s">
        <v>119</v>
      </c>
      <c r="Z25" s="13"/>
      <c r="AA25" s="19">
        <f>(H25/12)/G25</f>
        <v>13131578.947368421</v>
      </c>
      <c r="AB25" s="19" t="str">
        <f>IF(OR(AA25&lt;2317601,AA25&gt;(5*2317601)),"perbaiki","ok")</f>
        <v>perbaiki</v>
      </c>
      <c r="AC25" s="38"/>
      <c r="AD25" s="21">
        <f t="shared" si="0"/>
        <v>13131578.947368421</v>
      </c>
      <c r="AE25" s="19">
        <f>I25</f>
        <v>8950000000</v>
      </c>
      <c r="AF25" s="44">
        <v>27343000000</v>
      </c>
      <c r="AG25" s="21">
        <f t="shared" si="15"/>
        <v>36293000000</v>
      </c>
      <c r="AH25" s="19">
        <f>J25</f>
        <v>0</v>
      </c>
      <c r="AI25" s="20"/>
      <c r="AJ25" s="21">
        <f>AI25+AH25</f>
        <v>0</v>
      </c>
      <c r="AK25" s="19">
        <f>K25</f>
        <v>1418000000</v>
      </c>
      <c r="AL25" s="20"/>
      <c r="AM25" s="21">
        <f>AL25+AK25</f>
        <v>1418000000</v>
      </c>
      <c r="AN25" s="19">
        <f>L25</f>
        <v>3080000000</v>
      </c>
      <c r="AO25" s="20"/>
      <c r="AP25" s="21">
        <f>AO25+AN25</f>
        <v>3080000000</v>
      </c>
      <c r="AQ25" s="19">
        <f>N25</f>
        <v>87700000000</v>
      </c>
      <c r="AR25" s="20"/>
      <c r="AS25" s="21">
        <f>AR25+AQ25</f>
        <v>87700000000</v>
      </c>
      <c r="AT25" s="19">
        <f>O25</f>
        <v>0</v>
      </c>
      <c r="AU25" s="20"/>
      <c r="AV25" s="21">
        <f>AU25+AT25</f>
        <v>0</v>
      </c>
      <c r="AW25" s="19">
        <f>AS25-AJ25</f>
        <v>87700000000</v>
      </c>
      <c r="AX25" s="19">
        <f>AG25+AM25</f>
        <v>37711000000</v>
      </c>
      <c r="AY25" s="19">
        <f>AW25-AX25</f>
        <v>49989000000</v>
      </c>
      <c r="AZ25" s="22">
        <f>AY25/AW25</f>
        <v>0.56999999999999995</v>
      </c>
      <c r="BA25" s="22" t="str">
        <f>IF(AND(VALUE(AZ25)&gt;=(BB25-0.03), VALUE(AZ25)&lt;=(BC25+0.03)), "dalam range", "luar range")</f>
        <v>dalam range</v>
      </c>
      <c r="BB25" s="27">
        <v>0.44</v>
      </c>
      <c r="BC25" s="27">
        <v>0.56999999999999995</v>
      </c>
      <c r="BD25" s="23" t="str">
        <f>IF(AND(VALUE(U25)&gt;=(BB25-0.03), VALUE(U25)&lt;=(BC25+0.03)), "#0", "Adjustment")</f>
        <v>Adjustment</v>
      </c>
      <c r="BE25" s="13"/>
      <c r="BF25" s="46">
        <v>43211</v>
      </c>
      <c r="BG25" s="25" t="str">
        <f t="shared" si="1"/>
        <v/>
      </c>
      <c r="BH25" s="4" t="str">
        <f>IF(AF24="","",IF(D25="2026",(AG25/12),AG25))</f>
        <v/>
      </c>
      <c r="BI25" s="4" t="str">
        <f t="shared" si="3"/>
        <v/>
      </c>
      <c r="BJ25" s="4" t="str">
        <f t="shared" si="4"/>
        <v/>
      </c>
      <c r="BK25" s="4" t="str">
        <f t="shared" si="5"/>
        <v/>
      </c>
      <c r="BL25" s="4" t="str">
        <f t="shared" si="6"/>
        <v/>
      </c>
      <c r="BM25" s="4" t="str">
        <f t="shared" si="7"/>
        <v/>
      </c>
      <c r="BN25" s="42" t="str">
        <f t="shared" si="8"/>
        <v>#0</v>
      </c>
      <c r="BO25" s="42" t="str">
        <f t="shared" si="9"/>
        <v>#0</v>
      </c>
      <c r="BP25" s="42" t="str">
        <f t="shared" si="10"/>
        <v>#0</v>
      </c>
      <c r="BQ25" s="42" t="str">
        <f t="shared" si="11"/>
        <v>#0</v>
      </c>
      <c r="BR25" s="42" t="str">
        <f t="shared" si="12"/>
        <v>#0</v>
      </c>
      <c r="BS25" s="42" t="str">
        <f t="shared" si="13"/>
        <v>#0</v>
      </c>
      <c r="BT25" s="42" t="str">
        <f t="shared" si="14"/>
        <v>#0</v>
      </c>
      <c r="BU25" s="10" t="b">
        <v>1</v>
      </c>
      <c r="BV25" s="10" t="b">
        <v>0</v>
      </c>
    </row>
    <row r="26" spans="1:74" ht="15">
      <c r="A26" s="4" t="s">
        <v>192</v>
      </c>
      <c r="B26" s="4" t="s">
        <v>64</v>
      </c>
      <c r="C26" s="4" t="s">
        <v>193</v>
      </c>
      <c r="D26" s="4" t="s">
        <v>194</v>
      </c>
      <c r="E26" s="4" t="s">
        <v>195</v>
      </c>
      <c r="F26" s="4" t="s">
        <v>196</v>
      </c>
      <c r="G26" s="4">
        <v>535</v>
      </c>
      <c r="H26" s="5">
        <v>88649800000</v>
      </c>
      <c r="I26" s="5">
        <v>348579900000</v>
      </c>
      <c r="J26" s="5">
        <v>0</v>
      </c>
      <c r="K26" s="5">
        <v>297323500000</v>
      </c>
      <c r="L26" s="5">
        <v>0</v>
      </c>
      <c r="M26" s="5">
        <v>734553200000</v>
      </c>
      <c r="N26" s="5">
        <v>810941000000</v>
      </c>
      <c r="O26" s="5">
        <v>0</v>
      </c>
      <c r="P26" s="5">
        <v>165037600000</v>
      </c>
      <c r="Q26" s="5">
        <v>6714000000</v>
      </c>
      <c r="R26" s="5">
        <v>810941000000</v>
      </c>
      <c r="S26" s="4" t="s">
        <v>69</v>
      </c>
      <c r="T26" s="4"/>
      <c r="U26" s="4">
        <v>0.203514</v>
      </c>
      <c r="V26" s="4">
        <v>1515777570.0934501</v>
      </c>
      <c r="W26" s="4">
        <v>1</v>
      </c>
      <c r="X26" s="6" t="s">
        <v>197</v>
      </c>
      <c r="Y26" s="4"/>
      <c r="Z26" s="13"/>
      <c r="AA26" s="19">
        <f>(H26/12)/G26</f>
        <v>13808380.062305296</v>
      </c>
      <c r="AB26" s="19" t="str">
        <f>IF(OR(AA26&lt;2317601,AA26&gt;(5*2317601)),"perbaiki","ok")</f>
        <v>perbaiki</v>
      </c>
      <c r="AC26" s="38"/>
      <c r="AD26" s="21">
        <f t="shared" si="0"/>
        <v>13808380.062305296</v>
      </c>
      <c r="AE26" s="19">
        <f>I26</f>
        <v>348579900000</v>
      </c>
      <c r="AF26" s="44">
        <v>-191776440000</v>
      </c>
      <c r="AG26" s="21">
        <f t="shared" si="15"/>
        <v>156803460000</v>
      </c>
      <c r="AH26" s="19">
        <f>J26</f>
        <v>0</v>
      </c>
      <c r="AI26" s="20"/>
      <c r="AJ26" s="21">
        <f>AI26+AH26</f>
        <v>0</v>
      </c>
      <c r="AK26" s="19">
        <f>K26</f>
        <v>297323500000</v>
      </c>
      <c r="AL26" s="20"/>
      <c r="AM26" s="21">
        <f>AL26+AK26</f>
        <v>297323500000</v>
      </c>
      <c r="AN26" s="19">
        <f>L26</f>
        <v>0</v>
      </c>
      <c r="AO26" s="20"/>
      <c r="AP26" s="21">
        <f>AO26+AN26</f>
        <v>0</v>
      </c>
      <c r="AQ26" s="19">
        <f>N26</f>
        <v>810941000000</v>
      </c>
      <c r="AR26" s="20"/>
      <c r="AS26" s="21">
        <f>AR26+AQ26</f>
        <v>810941000000</v>
      </c>
      <c r="AT26" s="19">
        <f>O26</f>
        <v>0</v>
      </c>
      <c r="AU26" s="20"/>
      <c r="AV26" s="21">
        <f>AU26+AT26</f>
        <v>0</v>
      </c>
      <c r="AW26" s="19">
        <f>AS26-AJ26</f>
        <v>810941000000</v>
      </c>
      <c r="AX26" s="19">
        <f>AG26+AM26</f>
        <v>454126960000</v>
      </c>
      <c r="AY26" s="19">
        <f>AW26-AX26</f>
        <v>356814040000</v>
      </c>
      <c r="AZ26" s="22">
        <f>AY26/AW26</f>
        <v>0.44</v>
      </c>
      <c r="BA26" s="22" t="str">
        <f>IF(AND(VALUE(AZ26)&gt;=(BB26-0.03), VALUE(AZ26)&lt;=(BC26+0.03)), "dalam range", "luar range")</f>
        <v>dalam range</v>
      </c>
      <c r="BB26" s="27">
        <v>0.44</v>
      </c>
      <c r="BC26" s="27">
        <v>0.56999999999999995</v>
      </c>
      <c r="BD26" s="23" t="str">
        <f>IF(AND(VALUE(U26)&gt;=(BB26-0.03), VALUE(U26)&lt;=(BC26+0.03)), "#0", "Adjustment")</f>
        <v>Adjustment</v>
      </c>
      <c r="BE26" s="13"/>
      <c r="BF26" s="46" t="s">
        <v>78</v>
      </c>
      <c r="BG26" s="25" t="str">
        <f t="shared" si="1"/>
        <v/>
      </c>
      <c r="BH26" s="4">
        <f>IF(AF25="","",IF(D26="2026",(AG26/12),AG26))</f>
        <v>156803460000</v>
      </c>
      <c r="BI26" s="4" t="str">
        <f t="shared" si="3"/>
        <v/>
      </c>
      <c r="BJ26" s="4" t="str">
        <f t="shared" si="4"/>
        <v/>
      </c>
      <c r="BK26" s="4" t="str">
        <f t="shared" si="5"/>
        <v/>
      </c>
      <c r="BL26" s="4" t="str">
        <f t="shared" si="6"/>
        <v/>
      </c>
      <c r="BM26" s="4" t="str">
        <f t="shared" si="7"/>
        <v/>
      </c>
      <c r="BN26" s="42" t="str">
        <f t="shared" si="8"/>
        <v>#0</v>
      </c>
      <c r="BO26" s="42" t="str">
        <f t="shared" si="9"/>
        <v>#3</v>
      </c>
      <c r="BP26" s="42" t="str">
        <f t="shared" si="10"/>
        <v>#0</v>
      </c>
      <c r="BQ26" s="42" t="str">
        <f t="shared" si="11"/>
        <v>#0</v>
      </c>
      <c r="BR26" s="42" t="str">
        <f t="shared" si="12"/>
        <v>#0</v>
      </c>
      <c r="BS26" s="42" t="str">
        <f t="shared" si="13"/>
        <v>#0</v>
      </c>
      <c r="BT26" s="42" t="str">
        <f t="shared" si="14"/>
        <v>#0</v>
      </c>
      <c r="BU26" s="10" t="b">
        <v>1</v>
      </c>
      <c r="BV26" s="10" t="b">
        <v>0</v>
      </c>
    </row>
    <row r="27" spans="1:74" ht="15">
      <c r="A27" s="4" t="s">
        <v>99</v>
      </c>
      <c r="B27" s="4" t="s">
        <v>64</v>
      </c>
      <c r="C27" s="4" t="s">
        <v>193</v>
      </c>
      <c r="D27" s="4" t="s">
        <v>180</v>
      </c>
      <c r="E27" s="4" t="s">
        <v>198</v>
      </c>
      <c r="F27" s="4" t="s">
        <v>199</v>
      </c>
      <c r="G27" s="4">
        <v>30</v>
      </c>
      <c r="H27" s="5">
        <v>1500000000</v>
      </c>
      <c r="I27" s="5">
        <v>89000000000</v>
      </c>
      <c r="J27" s="5">
        <v>0</v>
      </c>
      <c r="K27" s="5">
        <v>1300000000</v>
      </c>
      <c r="L27" s="5">
        <v>0</v>
      </c>
      <c r="M27" s="5">
        <v>91800000000</v>
      </c>
      <c r="N27" s="5">
        <v>94000000000</v>
      </c>
      <c r="O27" s="5">
        <v>75000000</v>
      </c>
      <c r="P27" s="5">
        <v>3700000000</v>
      </c>
      <c r="Q27" s="5">
        <v>6300000000</v>
      </c>
      <c r="R27" s="5">
        <v>94000000000</v>
      </c>
      <c r="S27" s="4" t="s">
        <v>69</v>
      </c>
      <c r="T27" s="4" t="s">
        <v>183</v>
      </c>
      <c r="U27" s="4">
        <v>3.9362000000000001E-2</v>
      </c>
      <c r="V27" s="4">
        <v>3133333333.3333302</v>
      </c>
      <c r="W27" s="4">
        <v>1</v>
      </c>
      <c r="X27" s="6" t="s">
        <v>200</v>
      </c>
      <c r="Y27" s="4" t="s">
        <v>201</v>
      </c>
      <c r="Z27" s="13"/>
      <c r="AA27" s="19">
        <f>(H27/12)/G27</f>
        <v>4166666.6666666665</v>
      </c>
      <c r="AB27" s="19" t="str">
        <f>IF(OR(AA27&lt;2317601,AA27&gt;(5*2317601)),"perbaiki","ok")</f>
        <v>ok</v>
      </c>
      <c r="AC27" s="38"/>
      <c r="AD27" s="21">
        <f t="shared" si="0"/>
        <v>4166666.6666666665</v>
      </c>
      <c r="AE27" s="19">
        <f>I27</f>
        <v>89000000000</v>
      </c>
      <c r="AF27" s="44">
        <v>-36360000000</v>
      </c>
      <c r="AG27" s="21">
        <f t="shared" si="15"/>
        <v>52640000000</v>
      </c>
      <c r="AH27" s="19">
        <f>J27</f>
        <v>0</v>
      </c>
      <c r="AI27" s="20"/>
      <c r="AJ27" s="21">
        <f>AI27+AH27</f>
        <v>0</v>
      </c>
      <c r="AK27" s="19">
        <f>K27</f>
        <v>1300000000</v>
      </c>
      <c r="AL27" s="44">
        <v>-1300000000</v>
      </c>
      <c r="AM27" s="21">
        <f>AL27+AK27</f>
        <v>0</v>
      </c>
      <c r="AN27" s="19">
        <f>L27</f>
        <v>0</v>
      </c>
      <c r="AO27" s="20"/>
      <c r="AP27" s="21">
        <f>AO27+AN27</f>
        <v>0</v>
      </c>
      <c r="AQ27" s="19">
        <f>N27</f>
        <v>94000000000</v>
      </c>
      <c r="AR27" s="20"/>
      <c r="AS27" s="21">
        <f>AR27+AQ27</f>
        <v>94000000000</v>
      </c>
      <c r="AT27" s="19">
        <f>O27</f>
        <v>75000000</v>
      </c>
      <c r="AU27" s="20"/>
      <c r="AV27" s="21">
        <f>AU27+AT27</f>
        <v>75000000</v>
      </c>
      <c r="AW27" s="19">
        <f>AS27-AJ27</f>
        <v>94000000000</v>
      </c>
      <c r="AX27" s="19">
        <f>AG27+AM27</f>
        <v>52640000000</v>
      </c>
      <c r="AY27" s="19">
        <f>AW27-AX27</f>
        <v>41360000000</v>
      </c>
      <c r="AZ27" s="22">
        <f>AY27/AW27</f>
        <v>0.44</v>
      </c>
      <c r="BA27" s="22" t="str">
        <f>IF(AND(VALUE(AZ27)&gt;=(BB27-0.03), VALUE(AZ27)&lt;=(BC27+0.03)), "dalam range", "luar range")</f>
        <v>dalam range</v>
      </c>
      <c r="BB27" s="27">
        <v>0.44</v>
      </c>
      <c r="BC27" s="27">
        <v>0.56999999999999995</v>
      </c>
      <c r="BD27" s="23" t="str">
        <f>IF(AND(VALUE(U27)&gt;=(BB27-0.03), VALUE(U27)&lt;=(BC27+0.03)), "#0", "Adjustment")</f>
        <v>Adjustment</v>
      </c>
      <c r="BE27" s="13"/>
      <c r="BF27" s="46" t="s">
        <v>78</v>
      </c>
      <c r="BG27" s="25" t="str">
        <f t="shared" si="1"/>
        <v/>
      </c>
      <c r="BH27" s="4">
        <f>IF(AF26="","",IF(D27="2026",(AG27/12),AG27))</f>
        <v>52640000000</v>
      </c>
      <c r="BI27" s="4" t="str">
        <f t="shared" si="3"/>
        <v/>
      </c>
      <c r="BJ27" s="4">
        <f t="shared" si="4"/>
        <v>0</v>
      </c>
      <c r="BK27" s="4" t="str">
        <f t="shared" si="5"/>
        <v/>
      </c>
      <c r="BL27" s="4" t="str">
        <f t="shared" si="6"/>
        <v/>
      </c>
      <c r="BM27" s="4" t="str">
        <f t="shared" si="7"/>
        <v/>
      </c>
      <c r="BN27" s="42" t="str">
        <f t="shared" si="8"/>
        <v>#0</v>
      </c>
      <c r="BO27" s="42" t="str">
        <f t="shared" si="9"/>
        <v>#3</v>
      </c>
      <c r="BP27" s="42" t="str">
        <f t="shared" si="10"/>
        <v>#0</v>
      </c>
      <c r="BQ27" s="42" t="str">
        <f t="shared" si="11"/>
        <v>#3</v>
      </c>
      <c r="BR27" s="42" t="str">
        <f t="shared" si="12"/>
        <v>#0</v>
      </c>
      <c r="BS27" s="42" t="str">
        <f t="shared" si="13"/>
        <v>#0</v>
      </c>
      <c r="BT27" s="42" t="str">
        <f t="shared" si="14"/>
        <v>#0</v>
      </c>
      <c r="BU27" s="10" t="b">
        <v>1</v>
      </c>
      <c r="BV27" s="10" t="b">
        <v>0</v>
      </c>
    </row>
    <row r="28" spans="1:74" ht="15">
      <c r="A28" s="4" t="s">
        <v>63</v>
      </c>
      <c r="B28" s="4" t="s">
        <v>64</v>
      </c>
      <c r="C28" s="4" t="s">
        <v>193</v>
      </c>
      <c r="D28" s="4" t="s">
        <v>150</v>
      </c>
      <c r="E28" s="4" t="s">
        <v>202</v>
      </c>
      <c r="F28" s="4" t="s">
        <v>203</v>
      </c>
      <c r="G28" s="4">
        <v>46</v>
      </c>
      <c r="H28" s="5">
        <v>935398354</v>
      </c>
      <c r="I28" s="5">
        <v>0</v>
      </c>
      <c r="J28" s="5">
        <v>0</v>
      </c>
      <c r="K28" s="5">
        <v>30038057082</v>
      </c>
      <c r="L28" s="5">
        <v>74290716928</v>
      </c>
      <c r="M28" s="5">
        <v>105264172364</v>
      </c>
      <c r="N28" s="5">
        <v>105264172364</v>
      </c>
      <c r="O28" s="5">
        <v>0</v>
      </c>
      <c r="P28" s="5">
        <v>75226115282</v>
      </c>
      <c r="Q28" s="5">
        <v>338629828681</v>
      </c>
      <c r="R28" s="5">
        <v>105264172364</v>
      </c>
      <c r="S28" s="4" t="s">
        <v>69</v>
      </c>
      <c r="T28" s="4" t="s">
        <v>70</v>
      </c>
      <c r="U28" s="4">
        <v>0.71464099999999997</v>
      </c>
      <c r="V28" s="4">
        <v>2288351573.1304302</v>
      </c>
      <c r="W28" s="4">
        <v>1</v>
      </c>
      <c r="X28" s="6" t="s">
        <v>204</v>
      </c>
      <c r="Y28" s="4" t="s">
        <v>205</v>
      </c>
      <c r="Z28" s="13"/>
      <c r="AA28" s="19">
        <f>(H28/12)/G28</f>
        <v>1694562.2355072463</v>
      </c>
      <c r="AB28" s="19" t="str">
        <f>IF(OR(AA28&lt;2317601,AA28&gt;(5*2317601)),"perbaiki","ok")</f>
        <v>perbaiki</v>
      </c>
      <c r="AC28" s="38"/>
      <c r="AD28" s="21">
        <f t="shared" si="0"/>
        <v>1694562.2355072463</v>
      </c>
      <c r="AE28" s="19">
        <f>I28</f>
        <v>0</v>
      </c>
      <c r="AF28" s="44">
        <v>15225537034.52</v>
      </c>
      <c r="AG28" s="21">
        <f t="shared" si="15"/>
        <v>15225537034.52</v>
      </c>
      <c r="AH28" s="19">
        <f>J28</f>
        <v>0</v>
      </c>
      <c r="AI28" s="20"/>
      <c r="AJ28" s="21">
        <f>AI28+AH28</f>
        <v>0</v>
      </c>
      <c r="AK28" s="19">
        <f>K28</f>
        <v>30038057082</v>
      </c>
      <c r="AL28" s="20"/>
      <c r="AM28" s="21">
        <f>AL28+AK28</f>
        <v>30038057082</v>
      </c>
      <c r="AN28" s="19">
        <f>L28</f>
        <v>74290716928</v>
      </c>
      <c r="AO28" s="20"/>
      <c r="AP28" s="21">
        <f>AO28+AN28</f>
        <v>74290716928</v>
      </c>
      <c r="AQ28" s="19">
        <f>N28</f>
        <v>105264172364</v>
      </c>
      <c r="AR28" s="20"/>
      <c r="AS28" s="21">
        <f>AR28+AQ28</f>
        <v>105264172364</v>
      </c>
      <c r="AT28" s="19">
        <f>O28</f>
        <v>0</v>
      </c>
      <c r="AU28" s="20"/>
      <c r="AV28" s="21">
        <f>AU28+AT28</f>
        <v>0</v>
      </c>
      <c r="AW28" s="19">
        <f>AS28-AJ28</f>
        <v>105264172364</v>
      </c>
      <c r="AX28" s="19">
        <f>AG28+AM28</f>
        <v>45263594116.520004</v>
      </c>
      <c r="AY28" s="19">
        <f>AW28-AX28</f>
        <v>60000578247.479996</v>
      </c>
      <c r="AZ28" s="22">
        <f>AY28/AW28</f>
        <v>0.56999999999999995</v>
      </c>
      <c r="BA28" s="22" t="str">
        <f>IF(AND(VALUE(AZ28)&gt;=(BB28-0.03), VALUE(AZ28)&lt;=(BC28+0.03)), "dalam range", "luar range")</f>
        <v>dalam range</v>
      </c>
      <c r="BB28" s="27">
        <v>0.44</v>
      </c>
      <c r="BC28" s="27">
        <v>0.56999999999999995</v>
      </c>
      <c r="BD28" s="23" t="str">
        <f>IF(AND(VALUE(U28)&gt;=(BB28-0.03), VALUE(U28)&lt;=(BC28+0.03)), "#0", "Adjustment")</f>
        <v>Adjustment</v>
      </c>
      <c r="BE28" s="13"/>
      <c r="BF28" s="46">
        <v>9100</v>
      </c>
      <c r="BG28" s="25" t="str">
        <f t="shared" si="1"/>
        <v/>
      </c>
      <c r="BH28" s="4">
        <f>IF(AF27="","",IF(D28="2026",(AG28/12),AG28))</f>
        <v>15225537034.52</v>
      </c>
      <c r="BI28" s="4" t="str">
        <f t="shared" si="3"/>
        <v/>
      </c>
      <c r="BJ28" s="4" t="str">
        <f t="shared" si="4"/>
        <v/>
      </c>
      <c r="BK28" s="4" t="str">
        <f t="shared" si="5"/>
        <v/>
      </c>
      <c r="BL28" s="4" t="str">
        <f t="shared" si="6"/>
        <v/>
      </c>
      <c r="BM28" s="4" t="str">
        <f t="shared" si="7"/>
        <v/>
      </c>
      <c r="BN28" s="42" t="str">
        <f t="shared" si="8"/>
        <v>#0</v>
      </c>
      <c r="BO28" s="42" t="str">
        <f t="shared" si="9"/>
        <v>#3</v>
      </c>
      <c r="BP28" s="42" t="str">
        <f t="shared" si="10"/>
        <v>#0</v>
      </c>
      <c r="BQ28" s="42" t="str">
        <f t="shared" si="11"/>
        <v>#0</v>
      </c>
      <c r="BR28" s="42" t="str">
        <f t="shared" si="12"/>
        <v>#0</v>
      </c>
      <c r="BS28" s="42" t="str">
        <f t="shared" si="13"/>
        <v>#0</v>
      </c>
      <c r="BT28" s="42" t="str">
        <f t="shared" si="14"/>
        <v>#0</v>
      </c>
      <c r="BU28" s="10" t="b">
        <v>1</v>
      </c>
      <c r="BV28" s="10" t="b">
        <v>0</v>
      </c>
    </row>
    <row r="29" spans="1:74" ht="15">
      <c r="A29" s="4" t="s">
        <v>63</v>
      </c>
      <c r="B29" s="4" t="s">
        <v>64</v>
      </c>
      <c r="C29" s="4" t="s">
        <v>132</v>
      </c>
      <c r="D29" s="4" t="s">
        <v>110</v>
      </c>
      <c r="E29" s="4" t="s">
        <v>206</v>
      </c>
      <c r="F29" s="4" t="s">
        <v>207</v>
      </c>
      <c r="G29" s="4">
        <v>24</v>
      </c>
      <c r="H29" s="5">
        <v>4695767528</v>
      </c>
      <c r="I29" s="5">
        <v>0</v>
      </c>
      <c r="J29" s="5">
        <v>0</v>
      </c>
      <c r="K29" s="5">
        <v>1689762017</v>
      </c>
      <c r="L29" s="5">
        <v>3703727730</v>
      </c>
      <c r="M29" s="5">
        <v>10089257275</v>
      </c>
      <c r="N29" s="5">
        <v>112520848492</v>
      </c>
      <c r="O29" s="5">
        <v>1840300302</v>
      </c>
      <c r="P29" s="5">
        <v>110831086475</v>
      </c>
      <c r="Q29" s="5">
        <v>11493341123</v>
      </c>
      <c r="R29" s="5">
        <v>112520848492</v>
      </c>
      <c r="S29" s="4" t="s">
        <v>69</v>
      </c>
      <c r="T29" s="4" t="s">
        <v>70</v>
      </c>
      <c r="U29" s="4">
        <v>0.98498300000000005</v>
      </c>
      <c r="V29" s="4">
        <v>4688368687.1666603</v>
      </c>
      <c r="W29" s="4">
        <v>1</v>
      </c>
      <c r="X29" s="6" t="s">
        <v>208</v>
      </c>
      <c r="Y29" s="4" t="s">
        <v>209</v>
      </c>
      <c r="Z29" s="13"/>
      <c r="AA29" s="19">
        <f>(H29/12)/G29</f>
        <v>16304748.361111112</v>
      </c>
      <c r="AB29" s="19" t="str">
        <f>IF(OR(AA29&lt;2317601,AA29&gt;(5*2317601)),"perbaiki","ok")</f>
        <v>perbaiki</v>
      </c>
      <c r="AC29" s="38"/>
      <c r="AD29" s="21">
        <f t="shared" si="0"/>
        <v>16304748.361111112</v>
      </c>
      <c r="AE29" s="19">
        <f>I29</f>
        <v>0</v>
      </c>
      <c r="AF29" s="38"/>
      <c r="AG29" s="21">
        <f t="shared" si="15"/>
        <v>0</v>
      </c>
      <c r="AH29" s="19">
        <f>J29</f>
        <v>0</v>
      </c>
      <c r="AI29" s="20"/>
      <c r="AJ29" s="21">
        <f>AI29+AH29</f>
        <v>0</v>
      </c>
      <c r="AK29" s="19">
        <f>K29</f>
        <v>1689762017</v>
      </c>
      <c r="AL29" s="44">
        <v>46694202834.559998</v>
      </c>
      <c r="AM29" s="21">
        <f>AL29+AK29</f>
        <v>48383964851.559998</v>
      </c>
      <c r="AN29" s="19">
        <f>L29</f>
        <v>3703727730</v>
      </c>
      <c r="AO29" s="20"/>
      <c r="AP29" s="21">
        <f>AO29+AN29</f>
        <v>3703727730</v>
      </c>
      <c r="AQ29" s="19">
        <f>N29</f>
        <v>112520848492</v>
      </c>
      <c r="AR29" s="20"/>
      <c r="AS29" s="21">
        <f>AR29+AQ29</f>
        <v>112520848492</v>
      </c>
      <c r="AT29" s="19">
        <f>O29</f>
        <v>1840300302</v>
      </c>
      <c r="AU29" s="20"/>
      <c r="AV29" s="21">
        <f>AU29+AT29</f>
        <v>1840300302</v>
      </c>
      <c r="AW29" s="19">
        <f>AS29-AJ29</f>
        <v>112520848492</v>
      </c>
      <c r="AX29" s="19">
        <f>AG29+AM29</f>
        <v>48383964851.559998</v>
      </c>
      <c r="AY29" s="19">
        <f>AW29-AX29</f>
        <v>64136883640.440002</v>
      </c>
      <c r="AZ29" s="22">
        <f>AY29/AW29</f>
        <v>0.57000000000000006</v>
      </c>
      <c r="BA29" s="22" t="str">
        <f>IF(AND(VALUE(AZ29)&gt;=(BB29-0.03), VALUE(AZ29)&lt;=(BC29+0.03)), "dalam range", "luar range")</f>
        <v>dalam range</v>
      </c>
      <c r="BB29" s="27">
        <v>0.44</v>
      </c>
      <c r="BC29" s="27">
        <v>0.56999999999999995</v>
      </c>
      <c r="BD29" s="23" t="str">
        <f>IF(AND(VALUE(U29)&gt;=(BB29-0.03), VALUE(U29)&lt;=(BC29+0.03)), "#0", "Adjustment")</f>
        <v>Adjustment</v>
      </c>
      <c r="BE29" s="13"/>
      <c r="BF29" s="46">
        <v>71109</v>
      </c>
      <c r="BG29" s="25" t="str">
        <f t="shared" si="1"/>
        <v/>
      </c>
      <c r="BH29" s="4">
        <f>IF(AF28="","",IF(D29="2026",(AG29/12),AG29))</f>
        <v>0</v>
      </c>
      <c r="BI29" s="4" t="str">
        <f t="shared" si="3"/>
        <v/>
      </c>
      <c r="BJ29" s="4">
        <f t="shared" si="4"/>
        <v>48383964851.559998</v>
      </c>
      <c r="BK29" s="4" t="str">
        <f t="shared" si="5"/>
        <v/>
      </c>
      <c r="BL29" s="4" t="str">
        <f t="shared" si="6"/>
        <v/>
      </c>
      <c r="BM29" s="4" t="str">
        <f t="shared" si="7"/>
        <v/>
      </c>
      <c r="BN29" s="42" t="str">
        <f t="shared" si="8"/>
        <v>#0</v>
      </c>
      <c r="BO29" s="42" t="str">
        <f t="shared" si="9"/>
        <v>#3</v>
      </c>
      <c r="BP29" s="42" t="str">
        <f t="shared" si="10"/>
        <v>#0</v>
      </c>
      <c r="BQ29" s="42" t="str">
        <f t="shared" si="11"/>
        <v>#3</v>
      </c>
      <c r="BR29" s="42" t="str">
        <f t="shared" si="12"/>
        <v>#0</v>
      </c>
      <c r="BS29" s="42" t="str">
        <f t="shared" si="13"/>
        <v>#0</v>
      </c>
      <c r="BT29" s="42" t="str">
        <f t="shared" si="14"/>
        <v>#0</v>
      </c>
      <c r="BU29" s="10" t="b">
        <v>1</v>
      </c>
      <c r="BV29" s="10" t="b">
        <v>0</v>
      </c>
    </row>
    <row r="30" spans="1:74" ht="15">
      <c r="A30" s="4" t="s">
        <v>210</v>
      </c>
      <c r="B30" s="4" t="s">
        <v>64</v>
      </c>
      <c r="C30" s="4" t="s">
        <v>160</v>
      </c>
      <c r="D30" s="4" t="s">
        <v>105</v>
      </c>
      <c r="E30" s="4" t="s">
        <v>211</v>
      </c>
      <c r="F30" s="4" t="s">
        <v>212</v>
      </c>
      <c r="G30" s="4">
        <v>1431</v>
      </c>
      <c r="H30" s="5">
        <v>78989000542</v>
      </c>
      <c r="I30" s="5">
        <v>20132365841</v>
      </c>
      <c r="J30" s="5">
        <v>0</v>
      </c>
      <c r="K30" s="5">
        <v>21744874973</v>
      </c>
      <c r="L30" s="5">
        <v>24850000</v>
      </c>
      <c r="M30" s="5">
        <v>120891091356</v>
      </c>
      <c r="N30" s="5">
        <v>175763329188</v>
      </c>
      <c r="O30" s="5">
        <v>168236810</v>
      </c>
      <c r="P30" s="5">
        <v>133886088374</v>
      </c>
      <c r="Q30" s="5">
        <v>46414511928</v>
      </c>
      <c r="R30" s="5">
        <v>175763329188</v>
      </c>
      <c r="S30" s="4" t="s">
        <v>69</v>
      </c>
      <c r="T30" s="4"/>
      <c r="U30" s="4">
        <v>0.761741</v>
      </c>
      <c r="V30" s="4">
        <v>122825527.035639</v>
      </c>
      <c r="W30" s="4">
        <v>1</v>
      </c>
      <c r="X30" s="6" t="s">
        <v>213</v>
      </c>
      <c r="Y30" s="4" t="s">
        <v>214</v>
      </c>
      <c r="Z30" s="13"/>
      <c r="AA30" s="19">
        <f>(H30/12)/G30</f>
        <v>4599871.9160260884</v>
      </c>
      <c r="AB30" s="19" t="str">
        <f>IF(OR(AA30&lt;2317601,AA30&gt;(5*2317601)),"perbaiki","ok")</f>
        <v>ok</v>
      </c>
      <c r="AC30" s="38"/>
      <c r="AD30" s="21">
        <f t="shared" si="0"/>
        <v>4599871.9160260884</v>
      </c>
      <c r="AE30" s="19">
        <f>I30</f>
        <v>20132365841</v>
      </c>
      <c r="AF30" s="44">
        <v>33700990736.84</v>
      </c>
      <c r="AG30" s="21">
        <f t="shared" si="15"/>
        <v>53833356577.839996</v>
      </c>
      <c r="AH30" s="19">
        <f>J30</f>
        <v>0</v>
      </c>
      <c r="AI30" s="20"/>
      <c r="AJ30" s="21">
        <f>AI30+AH30</f>
        <v>0</v>
      </c>
      <c r="AK30" s="19">
        <f>K30</f>
        <v>21744874973</v>
      </c>
      <c r="AL30" s="20"/>
      <c r="AM30" s="21">
        <f>AL30+AK30</f>
        <v>21744874973</v>
      </c>
      <c r="AN30" s="19">
        <f>L30</f>
        <v>24850000</v>
      </c>
      <c r="AO30" s="20"/>
      <c r="AP30" s="21">
        <f>AO30+AN30</f>
        <v>24850000</v>
      </c>
      <c r="AQ30" s="19">
        <f>N30</f>
        <v>175763329188</v>
      </c>
      <c r="AR30" s="20"/>
      <c r="AS30" s="21">
        <f>AR30+AQ30</f>
        <v>175763329188</v>
      </c>
      <c r="AT30" s="19">
        <f>O30</f>
        <v>168236810</v>
      </c>
      <c r="AU30" s="20"/>
      <c r="AV30" s="21">
        <f>AU30+AT30</f>
        <v>168236810</v>
      </c>
      <c r="AW30" s="19">
        <f>AS30-AJ30</f>
        <v>175763329188</v>
      </c>
      <c r="AX30" s="19">
        <f>AG30+AM30</f>
        <v>75578231550.839996</v>
      </c>
      <c r="AY30" s="19">
        <f>AW30-AX30</f>
        <v>100185097637.16</v>
      </c>
      <c r="AZ30" s="22">
        <f>AY30/AW30</f>
        <v>0.57000000000000006</v>
      </c>
      <c r="BA30" s="22" t="str">
        <f>IF(AND(VALUE(AZ30)&gt;=(BB30-0.03), VALUE(AZ30)&lt;=(BC30+0.03)), "dalam range", "luar range")</f>
        <v>dalam range</v>
      </c>
      <c r="BB30" s="27">
        <v>0.44</v>
      </c>
      <c r="BC30" s="27">
        <v>0.56999999999999995</v>
      </c>
      <c r="BD30" s="23" t="str">
        <f>IF(AND(VALUE(U30)&gt;=(BB30-0.03), VALUE(U30)&lt;=(BC30+0.03)), "#0", "Adjustment")</f>
        <v>Adjustment</v>
      </c>
      <c r="BE30" s="13"/>
      <c r="BF30" s="46" t="s">
        <v>78</v>
      </c>
      <c r="BG30" s="25" t="str">
        <f t="shared" si="1"/>
        <v/>
      </c>
      <c r="BH30" s="4" t="str">
        <f>IF(AF29="","",IF(D30="2026",(AG30/12),AG30))</f>
        <v/>
      </c>
      <c r="BI30" s="4" t="str">
        <f t="shared" si="3"/>
        <v/>
      </c>
      <c r="BJ30" s="4" t="str">
        <f t="shared" si="4"/>
        <v/>
      </c>
      <c r="BK30" s="4" t="str">
        <f t="shared" si="5"/>
        <v/>
      </c>
      <c r="BL30" s="4" t="str">
        <f t="shared" si="6"/>
        <v/>
      </c>
      <c r="BM30" s="4" t="str">
        <f t="shared" si="7"/>
        <v/>
      </c>
      <c r="BN30" s="42" t="str">
        <f t="shared" si="8"/>
        <v>#0</v>
      </c>
      <c r="BO30" s="42" t="str">
        <f t="shared" si="9"/>
        <v>#0</v>
      </c>
      <c r="BP30" s="42" t="str">
        <f t="shared" si="10"/>
        <v>#0</v>
      </c>
      <c r="BQ30" s="42" t="str">
        <f t="shared" si="11"/>
        <v>#0</v>
      </c>
      <c r="BR30" s="42" t="str">
        <f t="shared" si="12"/>
        <v>#0</v>
      </c>
      <c r="BS30" s="42" t="str">
        <f t="shared" si="13"/>
        <v>#0</v>
      </c>
      <c r="BT30" s="42" t="str">
        <f t="shared" si="14"/>
        <v>#0</v>
      </c>
      <c r="BU30" s="10" t="b">
        <v>1</v>
      </c>
      <c r="BV30" s="10" t="b">
        <v>0</v>
      </c>
    </row>
    <row r="31" spans="1:74" ht="15">
      <c r="A31" s="4" t="s">
        <v>215</v>
      </c>
      <c r="B31" s="4" t="s">
        <v>64</v>
      </c>
      <c r="C31" s="4" t="s">
        <v>216</v>
      </c>
      <c r="D31" s="4" t="s">
        <v>164</v>
      </c>
      <c r="E31" s="4" t="s">
        <v>217</v>
      </c>
      <c r="F31" s="4" t="s">
        <v>218</v>
      </c>
      <c r="G31" s="4">
        <v>13</v>
      </c>
      <c r="H31" s="5">
        <v>156000000</v>
      </c>
      <c r="I31" s="5">
        <v>25000000</v>
      </c>
      <c r="J31" s="5">
        <v>0</v>
      </c>
      <c r="K31" s="5">
        <v>50000000</v>
      </c>
      <c r="L31" s="5">
        <v>10000000</v>
      </c>
      <c r="M31" s="5">
        <v>241000000</v>
      </c>
      <c r="N31" s="5">
        <v>500000000000</v>
      </c>
      <c r="O31" s="5">
        <v>0</v>
      </c>
      <c r="P31" s="5">
        <v>499925000000</v>
      </c>
      <c r="Q31" s="5">
        <v>1200000000</v>
      </c>
      <c r="R31" s="5">
        <v>500000000000</v>
      </c>
      <c r="S31" s="4" t="s">
        <v>69</v>
      </c>
      <c r="T31" s="4"/>
      <c r="U31" s="4">
        <v>0.99985000000000002</v>
      </c>
      <c r="V31" s="4">
        <v>38461538461.538399</v>
      </c>
      <c r="W31" s="4">
        <v>1</v>
      </c>
      <c r="X31" s="6" t="s">
        <v>219</v>
      </c>
      <c r="Y31" s="4" t="s">
        <v>220</v>
      </c>
      <c r="Z31" s="13"/>
      <c r="AA31" s="19">
        <f>(H31/12)/G31</f>
        <v>1000000</v>
      </c>
      <c r="AB31" s="19" t="str">
        <f>IF(OR(AA31&lt;2317601,AA31&gt;(5*2317601)),"perbaiki","ok")</f>
        <v>perbaiki</v>
      </c>
      <c r="AC31" s="38">
        <v>2400000</v>
      </c>
      <c r="AD31" s="21">
        <f t="shared" si="0"/>
        <v>3400000</v>
      </c>
      <c r="AE31" s="19">
        <f>I31</f>
        <v>25000000</v>
      </c>
      <c r="AF31" s="38"/>
      <c r="AG31" s="21">
        <f t="shared" si="15"/>
        <v>25000000</v>
      </c>
      <c r="AH31" s="19">
        <f>J31</f>
        <v>0</v>
      </c>
      <c r="AI31" s="20"/>
      <c r="AJ31" s="21">
        <f>AI31+AH31</f>
        <v>0</v>
      </c>
      <c r="AK31" s="19">
        <f>K31</f>
        <v>50000000</v>
      </c>
      <c r="AL31" s="44">
        <v>214925000000</v>
      </c>
      <c r="AM31" s="21">
        <f>AL31+AK31</f>
        <v>214975000000</v>
      </c>
      <c r="AN31" s="19">
        <f>L31</f>
        <v>10000000</v>
      </c>
      <c r="AO31" s="20"/>
      <c r="AP31" s="21">
        <f>AO31+AN31</f>
        <v>10000000</v>
      </c>
      <c r="AQ31" s="19">
        <f>N31</f>
        <v>500000000000</v>
      </c>
      <c r="AR31" s="20"/>
      <c r="AS31" s="21">
        <f>AR31+AQ31</f>
        <v>500000000000</v>
      </c>
      <c r="AT31" s="19">
        <f>O31</f>
        <v>0</v>
      </c>
      <c r="AU31" s="20"/>
      <c r="AV31" s="21">
        <f>AU31+AT31</f>
        <v>0</v>
      </c>
      <c r="AW31" s="19">
        <f>AS31-AJ31</f>
        <v>500000000000</v>
      </c>
      <c r="AX31" s="19">
        <f>AG31+AM31</f>
        <v>215000000000</v>
      </c>
      <c r="AY31" s="19">
        <f>AW31-AX31</f>
        <v>285000000000</v>
      </c>
      <c r="AZ31" s="22">
        <f>AY31/AW31</f>
        <v>0.56999999999999995</v>
      </c>
      <c r="BA31" s="22" t="str">
        <f>IF(AND(VALUE(AZ31)&gt;=(BB31-0.03), VALUE(AZ31)&lt;=(BC31+0.03)), "dalam range", "luar range")</f>
        <v>dalam range</v>
      </c>
      <c r="BB31" s="27">
        <v>0.44</v>
      </c>
      <c r="BC31" s="27">
        <v>0.56999999999999995</v>
      </c>
      <c r="BD31" s="23" t="str">
        <f>IF(AND(VALUE(U31)&gt;=(BB31-0.03), VALUE(U31)&lt;=(BC31+0.03)), "#0", "Adjustment")</f>
        <v>Adjustment</v>
      </c>
      <c r="BE31" s="13"/>
      <c r="BF31" s="46" t="s">
        <v>78</v>
      </c>
      <c r="BG31" s="25">
        <f t="shared" si="1"/>
        <v>530400000</v>
      </c>
      <c r="BH31" s="4">
        <f>IF(AF30="","",IF(D31="2026",(AG31/12),AG31))</f>
        <v>25000000</v>
      </c>
      <c r="BI31" s="4" t="str">
        <f t="shared" si="3"/>
        <v/>
      </c>
      <c r="BJ31" s="4">
        <f t="shared" si="4"/>
        <v>214975000000</v>
      </c>
      <c r="BK31" s="4" t="str">
        <f t="shared" si="5"/>
        <v/>
      </c>
      <c r="BL31" s="4" t="str">
        <f t="shared" si="6"/>
        <v/>
      </c>
      <c r="BM31" s="4" t="str">
        <f t="shared" si="7"/>
        <v/>
      </c>
      <c r="BN31" s="42" t="str">
        <f t="shared" si="8"/>
        <v>#3</v>
      </c>
      <c r="BO31" s="42" t="str">
        <f t="shared" si="9"/>
        <v>#3</v>
      </c>
      <c r="BP31" s="42" t="str">
        <f t="shared" si="10"/>
        <v>#0</v>
      </c>
      <c r="BQ31" s="42" t="str">
        <f t="shared" si="11"/>
        <v>#3</v>
      </c>
      <c r="BR31" s="42" t="str">
        <f t="shared" si="12"/>
        <v>#0</v>
      </c>
      <c r="BS31" s="42" t="str">
        <f t="shared" si="13"/>
        <v>#0</v>
      </c>
      <c r="BT31" s="42" t="str">
        <f t="shared" si="14"/>
        <v>#0</v>
      </c>
      <c r="BU31" s="10" t="b">
        <v>1</v>
      </c>
      <c r="BV31" s="10" t="b">
        <v>0</v>
      </c>
    </row>
    <row r="32" spans="1:74" ht="13.5" customHeight="1">
      <c r="AA32" s="19"/>
      <c r="AB32" s="19"/>
      <c r="AC32" s="38"/>
      <c r="AD32" s="21"/>
      <c r="AE32" s="19"/>
      <c r="AG32" s="21"/>
      <c r="AH32" s="19"/>
      <c r="AI32" s="20"/>
      <c r="AJ32" s="21"/>
      <c r="AK32" s="19"/>
      <c r="AL32" s="20"/>
      <c r="AM32" s="21"/>
      <c r="AN32" s="19"/>
      <c r="AO32" s="20"/>
      <c r="AP32" s="21"/>
      <c r="AQ32" s="19"/>
      <c r="AR32" s="20"/>
      <c r="AS32" s="21"/>
      <c r="AT32" s="19"/>
      <c r="AU32" s="20"/>
      <c r="AV32" s="21"/>
      <c r="AW32" s="19"/>
      <c r="AX32" s="19"/>
      <c r="AY32" s="19"/>
      <c r="AZ32" s="22"/>
      <c r="BA32" s="22"/>
      <c r="BB32" s="23"/>
      <c r="BC32" s="23"/>
      <c r="BD32" s="23"/>
    </row>
    <row r="33" spans="27:56" ht="13.5" customHeight="1">
      <c r="AA33" s="19"/>
      <c r="AB33" s="19"/>
      <c r="AC33" s="38"/>
      <c r="AD33" s="21"/>
      <c r="AE33" s="19"/>
      <c r="AF33" s="43"/>
      <c r="AG33" s="21"/>
      <c r="AH33" s="19"/>
      <c r="AI33" s="20"/>
      <c r="AJ33" s="21"/>
      <c r="AK33" s="19"/>
      <c r="AL33" s="20"/>
      <c r="AM33" s="21"/>
      <c r="AN33" s="19"/>
      <c r="AO33" s="20"/>
      <c r="AP33" s="21"/>
      <c r="AQ33" s="19"/>
      <c r="AR33" s="20"/>
      <c r="AS33" s="21"/>
      <c r="AT33" s="19"/>
      <c r="AU33" s="20"/>
      <c r="AV33" s="21"/>
      <c r="AW33" s="19"/>
      <c r="AX33" s="19"/>
      <c r="AY33" s="19"/>
      <c r="AZ33" s="22"/>
      <c r="BA33" s="22"/>
      <c r="BB33" s="23"/>
      <c r="BC33" s="23"/>
      <c r="BD33" s="23"/>
    </row>
    <row r="34" spans="27:56" ht="13.5" customHeight="1">
      <c r="AA34" s="19"/>
      <c r="AB34" s="19"/>
      <c r="AC34" s="38"/>
      <c r="AD34" s="21"/>
      <c r="AE34" s="19"/>
      <c r="AF34" s="20"/>
      <c r="AG34" s="21"/>
      <c r="AH34" s="19"/>
      <c r="AI34" s="20"/>
      <c r="AJ34" s="21"/>
      <c r="AK34" s="19"/>
      <c r="AL34" s="20"/>
      <c r="AM34" s="21"/>
      <c r="AN34" s="19"/>
      <c r="AO34" s="20"/>
      <c r="AP34" s="21"/>
      <c r="AQ34" s="19"/>
      <c r="AR34" s="20"/>
      <c r="AS34" s="21"/>
      <c r="AT34" s="19"/>
      <c r="AU34" s="20"/>
      <c r="AV34" s="21"/>
      <c r="AW34" s="19"/>
      <c r="AX34" s="19"/>
      <c r="AY34" s="19"/>
      <c r="AZ34" s="22"/>
      <c r="BA34" s="22"/>
      <c r="BB34" s="23"/>
      <c r="BC34" s="23"/>
      <c r="BD34" s="23"/>
    </row>
    <row r="35" spans="27:56" ht="13.5" customHeight="1">
      <c r="AA35" s="19"/>
      <c r="AB35" s="19"/>
      <c r="AC35" s="38"/>
      <c r="AD35" s="21"/>
      <c r="AE35" s="19"/>
      <c r="AF35" s="20"/>
      <c r="AG35" s="21"/>
      <c r="AH35" s="19"/>
      <c r="AI35" s="20"/>
      <c r="AJ35" s="21"/>
      <c r="AK35" s="19"/>
      <c r="AL35" s="20"/>
      <c r="AM35" s="21"/>
      <c r="AN35" s="19"/>
      <c r="AO35" s="20"/>
      <c r="AP35" s="21"/>
      <c r="AQ35" s="19"/>
      <c r="AR35" s="20"/>
      <c r="AS35" s="21"/>
      <c r="AT35" s="19"/>
      <c r="AU35" s="20"/>
      <c r="AV35" s="21"/>
      <c r="AW35" s="19"/>
      <c r="AX35" s="19"/>
      <c r="AY35" s="19"/>
      <c r="AZ35" s="22"/>
      <c r="BA35" s="22"/>
      <c r="BB35" s="23"/>
      <c r="BC35" s="23"/>
      <c r="BD35" s="23"/>
    </row>
    <row r="36" spans="27:56" ht="13.5" customHeight="1">
      <c r="AA36" s="19"/>
      <c r="AB36" s="19"/>
      <c r="AC36" s="38"/>
      <c r="AD36" s="21"/>
      <c r="AE36" s="19"/>
      <c r="AF36" s="20"/>
      <c r="AG36" s="21"/>
      <c r="AH36" s="19"/>
      <c r="AI36" s="20"/>
      <c r="AJ36" s="21"/>
      <c r="AK36" s="19"/>
      <c r="AL36" s="20"/>
      <c r="AM36" s="21"/>
      <c r="AN36" s="19"/>
      <c r="AO36" s="20"/>
      <c r="AP36" s="21"/>
      <c r="AQ36" s="19"/>
      <c r="AR36" s="20"/>
      <c r="AS36" s="21"/>
      <c r="AT36" s="19"/>
      <c r="AU36" s="20"/>
      <c r="AV36" s="21"/>
      <c r="AW36" s="19"/>
      <c r="AX36" s="19"/>
      <c r="AY36" s="19"/>
      <c r="AZ36" s="22"/>
      <c r="BA36" s="22"/>
      <c r="BB36" s="23"/>
      <c r="BC36" s="23"/>
      <c r="BD36" s="23"/>
    </row>
    <row r="37" spans="27:56" ht="13.5" customHeight="1">
      <c r="AA37" s="19"/>
      <c r="AB37" s="19"/>
      <c r="AC37" s="38"/>
      <c r="AD37" s="21"/>
      <c r="AE37" s="19"/>
      <c r="AF37" s="20"/>
      <c r="AG37" s="21"/>
      <c r="AH37" s="19"/>
      <c r="AI37" s="20"/>
      <c r="AJ37" s="21"/>
      <c r="AK37" s="19"/>
      <c r="AL37" s="20"/>
      <c r="AM37" s="21"/>
      <c r="AN37" s="19"/>
      <c r="AO37" s="20"/>
      <c r="AP37" s="21"/>
      <c r="AQ37" s="19"/>
      <c r="AR37" s="20"/>
      <c r="AS37" s="21"/>
      <c r="AT37" s="19"/>
      <c r="AU37" s="20"/>
      <c r="AV37" s="21"/>
      <c r="AW37" s="19"/>
      <c r="AX37" s="19"/>
      <c r="AY37" s="19"/>
      <c r="AZ37" s="22"/>
      <c r="BA37" s="22"/>
      <c r="BB37" s="23"/>
      <c r="BC37" s="23"/>
      <c r="BD37" s="23"/>
    </row>
    <row r="38" spans="27:56" ht="13.5" customHeight="1">
      <c r="AA38" s="19"/>
      <c r="AB38" s="19"/>
      <c r="AC38" s="38"/>
      <c r="AD38" s="21"/>
      <c r="AE38" s="19"/>
      <c r="AF38" s="20"/>
      <c r="AG38" s="21"/>
      <c r="AH38" s="19"/>
      <c r="AI38" s="20"/>
      <c r="AJ38" s="21"/>
      <c r="AK38" s="19"/>
      <c r="AL38" s="20"/>
      <c r="AM38" s="21"/>
      <c r="AN38" s="19"/>
      <c r="AO38" s="20"/>
      <c r="AP38" s="21"/>
      <c r="AQ38" s="19"/>
      <c r="AR38" s="20"/>
      <c r="AS38" s="21"/>
      <c r="AT38" s="19"/>
      <c r="AU38" s="20"/>
      <c r="AV38" s="21"/>
      <c r="AW38" s="19"/>
      <c r="AX38" s="19"/>
      <c r="AY38" s="19"/>
      <c r="AZ38" s="22"/>
      <c r="BA38" s="22"/>
      <c r="BB38" s="23"/>
      <c r="BC38" s="23"/>
      <c r="BD38" s="23"/>
    </row>
    <row r="39" spans="27:56" ht="13.5" customHeight="1">
      <c r="AA39" s="19"/>
      <c r="AB39" s="19"/>
      <c r="AC39" s="38"/>
      <c r="AD39" s="21"/>
      <c r="AE39" s="19"/>
      <c r="AF39" s="20"/>
      <c r="AG39" s="21"/>
      <c r="AH39" s="19"/>
      <c r="AI39" s="20"/>
      <c r="AJ39" s="21"/>
      <c r="AK39" s="19"/>
      <c r="AL39" s="20"/>
      <c r="AM39" s="21"/>
      <c r="AN39" s="19"/>
      <c r="AO39" s="20"/>
      <c r="AP39" s="21"/>
      <c r="AQ39" s="19"/>
      <c r="AR39" s="20"/>
      <c r="AS39" s="21"/>
      <c r="AT39" s="19"/>
      <c r="AU39" s="20"/>
      <c r="AV39" s="21"/>
      <c r="AW39" s="19"/>
      <c r="AX39" s="19"/>
      <c r="AY39" s="19"/>
      <c r="AZ39" s="22"/>
      <c r="BA39" s="22"/>
      <c r="BB39" s="23"/>
      <c r="BC39" s="23"/>
      <c r="BD39" s="23"/>
    </row>
    <row r="40" spans="27:56" ht="13.5" customHeight="1">
      <c r="AA40" s="19"/>
      <c r="AB40" s="19"/>
      <c r="AC40" s="38"/>
      <c r="AD40" s="21"/>
      <c r="AE40" s="19"/>
      <c r="AF40" s="20"/>
      <c r="AG40" s="21"/>
      <c r="AH40" s="19"/>
      <c r="AI40" s="20"/>
      <c r="AJ40" s="21"/>
      <c r="AK40" s="19"/>
      <c r="AL40" s="20"/>
      <c r="AM40" s="21"/>
      <c r="AN40" s="19"/>
      <c r="AO40" s="20"/>
      <c r="AP40" s="21"/>
      <c r="AQ40" s="19"/>
      <c r="AR40" s="20"/>
      <c r="AS40" s="21"/>
      <c r="AT40" s="19"/>
      <c r="AU40" s="20"/>
      <c r="AV40" s="21"/>
      <c r="AW40" s="19"/>
      <c r="AX40" s="19"/>
      <c r="AY40" s="19"/>
      <c r="AZ40" s="22"/>
      <c r="BA40" s="22"/>
      <c r="BB40" s="23"/>
      <c r="BC40" s="23"/>
      <c r="BD40" s="23"/>
    </row>
    <row r="41" spans="27:56" ht="13.5" customHeight="1">
      <c r="AA41" s="19"/>
      <c r="AB41" s="19"/>
      <c r="AC41" s="38"/>
      <c r="AD41" s="21"/>
      <c r="AE41" s="19"/>
      <c r="AF41" s="20"/>
      <c r="AG41" s="21"/>
      <c r="AH41" s="19"/>
      <c r="AI41" s="20"/>
      <c r="AJ41" s="21"/>
      <c r="AK41" s="19"/>
      <c r="AL41" s="20"/>
      <c r="AM41" s="21"/>
      <c r="AN41" s="19"/>
      <c r="AO41" s="20"/>
      <c r="AP41" s="21"/>
      <c r="AQ41" s="19"/>
      <c r="AR41" s="20"/>
      <c r="AS41" s="21"/>
      <c r="AT41" s="19"/>
      <c r="AU41" s="20"/>
      <c r="AV41" s="21"/>
      <c r="AW41" s="19"/>
      <c r="AX41" s="19"/>
      <c r="AY41" s="19"/>
      <c r="AZ41" s="22"/>
      <c r="BA41" s="22"/>
      <c r="BB41" s="23"/>
      <c r="BC41" s="23"/>
      <c r="BD41" s="23"/>
    </row>
    <row r="42" spans="27:56" ht="13.5" customHeight="1">
      <c r="AA42" s="19"/>
      <c r="AB42" s="19"/>
      <c r="AC42" s="38"/>
      <c r="AD42" s="21"/>
      <c r="AE42" s="19"/>
      <c r="AF42" s="20"/>
      <c r="AG42" s="21"/>
      <c r="AH42" s="19"/>
      <c r="AI42" s="20"/>
      <c r="AJ42" s="21"/>
      <c r="AK42" s="19"/>
      <c r="AL42" s="20"/>
      <c r="AM42" s="21"/>
      <c r="AN42" s="19"/>
      <c r="AO42" s="20"/>
      <c r="AP42" s="21"/>
      <c r="AQ42" s="19"/>
      <c r="AR42" s="20"/>
      <c r="AS42" s="21"/>
      <c r="AT42" s="19"/>
      <c r="AU42" s="20"/>
      <c r="AV42" s="21"/>
      <c r="AW42" s="19"/>
      <c r="AX42" s="19"/>
      <c r="AY42" s="19"/>
      <c r="AZ42" s="22"/>
      <c r="BA42" s="22"/>
      <c r="BB42" s="23"/>
      <c r="BC42" s="23"/>
      <c r="BD42" s="23"/>
    </row>
    <row r="43" spans="27:56" ht="13.5" customHeight="1">
      <c r="AA43" s="19"/>
      <c r="AB43" s="19"/>
      <c r="AC43" s="38"/>
      <c r="AD43" s="21"/>
      <c r="AE43" s="19"/>
      <c r="AF43" s="20"/>
      <c r="AG43" s="21"/>
      <c r="AH43" s="19"/>
      <c r="AI43" s="20"/>
      <c r="AJ43" s="21"/>
      <c r="AK43" s="19"/>
      <c r="AL43" s="20"/>
      <c r="AM43" s="21"/>
      <c r="AN43" s="19"/>
      <c r="AO43" s="20"/>
      <c r="AP43" s="21"/>
      <c r="AQ43" s="19"/>
      <c r="AR43" s="20"/>
      <c r="AS43" s="21"/>
      <c r="AT43" s="19"/>
      <c r="AU43" s="20"/>
      <c r="AV43" s="21"/>
      <c r="AW43" s="19"/>
      <c r="AX43" s="19"/>
      <c r="AY43" s="19"/>
      <c r="AZ43" s="22"/>
      <c r="BA43" s="22"/>
      <c r="BB43" s="23"/>
      <c r="BC43" s="23"/>
      <c r="BD43" s="23"/>
    </row>
    <row r="44" spans="27:56" ht="13.5" customHeight="1">
      <c r="AA44" s="19"/>
      <c r="AB44" s="19"/>
      <c r="AC44" s="38"/>
      <c r="AD44" s="21"/>
      <c r="AE44" s="19"/>
      <c r="AF44" s="20"/>
      <c r="AG44" s="21"/>
      <c r="AH44" s="19"/>
      <c r="AI44" s="20"/>
      <c r="AJ44" s="21"/>
      <c r="AK44" s="19"/>
      <c r="AL44" s="20"/>
      <c r="AM44" s="21"/>
      <c r="AN44" s="19"/>
      <c r="AO44" s="20"/>
      <c r="AP44" s="21"/>
      <c r="AQ44" s="19"/>
      <c r="AR44" s="20"/>
      <c r="AS44" s="21"/>
      <c r="AT44" s="19"/>
      <c r="AU44" s="20"/>
      <c r="AV44" s="21"/>
      <c r="AW44" s="19"/>
      <c r="AX44" s="19"/>
      <c r="AY44" s="19"/>
      <c r="AZ44" s="22"/>
      <c r="BA44" s="22"/>
      <c r="BB44" s="23"/>
      <c r="BC44" s="23"/>
      <c r="BD44" s="23"/>
    </row>
    <row r="45" spans="27:56" ht="13.5" customHeight="1">
      <c r="AA45" s="19"/>
      <c r="AB45" s="19"/>
      <c r="AC45" s="38"/>
      <c r="AD45" s="21"/>
      <c r="AE45" s="19"/>
      <c r="AF45" s="20"/>
      <c r="AG45" s="21"/>
      <c r="AH45" s="19"/>
      <c r="AI45" s="20"/>
      <c r="AJ45" s="21"/>
      <c r="AK45" s="19"/>
      <c r="AL45" s="20"/>
      <c r="AM45" s="21"/>
      <c r="AN45" s="19"/>
      <c r="AO45" s="20"/>
      <c r="AP45" s="21"/>
      <c r="AQ45" s="19"/>
      <c r="AR45" s="20"/>
      <c r="AS45" s="21"/>
      <c r="AT45" s="19"/>
      <c r="AU45" s="20"/>
      <c r="AV45" s="21"/>
      <c r="AW45" s="19"/>
      <c r="AX45" s="19"/>
      <c r="AY45" s="19"/>
      <c r="AZ45" s="22"/>
      <c r="BA45" s="22"/>
      <c r="BB45" s="23"/>
      <c r="BC45" s="23"/>
      <c r="BD45" s="23"/>
    </row>
    <row r="46" spans="27:56" ht="13.5" customHeight="1">
      <c r="AA46" s="19"/>
      <c r="AB46" s="19"/>
      <c r="AC46" s="38"/>
      <c r="AD46" s="21"/>
      <c r="AE46" s="19"/>
      <c r="AF46" s="20"/>
      <c r="AG46" s="21"/>
      <c r="AH46" s="19"/>
      <c r="AI46" s="20"/>
      <c r="AJ46" s="21"/>
      <c r="AK46" s="19"/>
      <c r="AL46" s="20"/>
      <c r="AM46" s="21"/>
      <c r="AN46" s="19"/>
      <c r="AO46" s="20"/>
      <c r="AP46" s="21"/>
      <c r="AQ46" s="19"/>
      <c r="AR46" s="20"/>
      <c r="AS46" s="21"/>
      <c r="AT46" s="19"/>
      <c r="AU46" s="20"/>
      <c r="AV46" s="21"/>
      <c r="AW46" s="19"/>
      <c r="AX46" s="19"/>
      <c r="AY46" s="19"/>
      <c r="AZ46" s="22"/>
      <c r="BA46" s="22"/>
      <c r="BB46" s="23"/>
      <c r="BC46" s="23"/>
      <c r="BD46" s="23"/>
    </row>
    <row r="47" spans="27:56" ht="13.5" customHeight="1">
      <c r="AA47" s="19"/>
      <c r="AB47" s="19"/>
      <c r="AC47" s="38"/>
      <c r="AD47" s="21"/>
      <c r="AE47" s="19"/>
      <c r="AF47" s="20"/>
      <c r="AG47" s="21"/>
      <c r="AH47" s="19"/>
      <c r="AI47" s="20"/>
      <c r="AJ47" s="21"/>
      <c r="AK47" s="19"/>
      <c r="AL47" s="20"/>
      <c r="AM47" s="21"/>
      <c r="AN47" s="19"/>
      <c r="AO47" s="20"/>
      <c r="AP47" s="21"/>
      <c r="AQ47" s="19"/>
      <c r="AR47" s="20"/>
      <c r="AS47" s="21"/>
      <c r="AT47" s="19"/>
      <c r="AU47" s="20"/>
      <c r="AV47" s="21"/>
      <c r="AW47" s="19"/>
      <c r="AX47" s="19"/>
      <c r="AY47" s="19"/>
      <c r="AZ47" s="22"/>
      <c r="BA47" s="22"/>
      <c r="BB47" s="23"/>
      <c r="BC47" s="23"/>
      <c r="BD47" s="23"/>
    </row>
    <row r="48" spans="27:56" ht="13.5" customHeight="1">
      <c r="AA48" s="19"/>
      <c r="AB48" s="19"/>
      <c r="AC48" s="38"/>
      <c r="AD48" s="21"/>
      <c r="AE48" s="19"/>
      <c r="AF48" s="20"/>
      <c r="AG48" s="21"/>
      <c r="AH48" s="19"/>
      <c r="AI48" s="20"/>
      <c r="AJ48" s="21"/>
      <c r="AK48" s="19"/>
      <c r="AL48" s="20"/>
      <c r="AM48" s="21"/>
      <c r="AN48" s="19"/>
      <c r="AO48" s="20"/>
      <c r="AP48" s="21"/>
      <c r="AQ48" s="19"/>
      <c r="AR48" s="20"/>
      <c r="AS48" s="21"/>
      <c r="AT48" s="19"/>
      <c r="AU48" s="20"/>
      <c r="AV48" s="21"/>
      <c r="AW48" s="19"/>
      <c r="AX48" s="19"/>
      <c r="AY48" s="19"/>
      <c r="AZ48" s="22"/>
      <c r="BA48" s="22"/>
      <c r="BB48" s="23"/>
      <c r="BC48" s="23"/>
      <c r="BD48" s="23"/>
    </row>
    <row r="49" spans="27:56" ht="13.5" customHeight="1">
      <c r="AA49" s="19"/>
      <c r="AB49" s="19"/>
      <c r="AC49" s="38"/>
      <c r="AD49" s="21"/>
      <c r="AE49" s="19"/>
      <c r="AF49" s="20"/>
      <c r="AG49" s="21"/>
      <c r="AH49" s="19"/>
      <c r="AI49" s="20"/>
      <c r="AJ49" s="21"/>
      <c r="AK49" s="19"/>
      <c r="AL49" s="20"/>
      <c r="AM49" s="21"/>
      <c r="AN49" s="19"/>
      <c r="AO49" s="20"/>
      <c r="AP49" s="21"/>
      <c r="AQ49" s="19"/>
      <c r="AR49" s="20"/>
      <c r="AS49" s="21"/>
      <c r="AT49" s="19"/>
      <c r="AU49" s="20"/>
      <c r="AV49" s="21"/>
      <c r="AW49" s="19"/>
      <c r="AX49" s="19"/>
      <c r="AY49" s="19"/>
      <c r="AZ49" s="22"/>
      <c r="BA49" s="22"/>
      <c r="BB49" s="23"/>
      <c r="BC49" s="23"/>
      <c r="BD49" s="23"/>
    </row>
    <row r="50" spans="27:56" ht="13.5" customHeight="1">
      <c r="AA50" s="19"/>
      <c r="AB50" s="19"/>
      <c r="AC50" s="38"/>
      <c r="AD50" s="21"/>
      <c r="AE50" s="19"/>
      <c r="AF50" s="20"/>
      <c r="AG50" s="21"/>
      <c r="AH50" s="19"/>
      <c r="AI50" s="20"/>
      <c r="AJ50" s="21"/>
      <c r="AK50" s="19"/>
      <c r="AL50" s="20"/>
      <c r="AM50" s="21"/>
      <c r="AN50" s="19"/>
      <c r="AO50" s="20"/>
      <c r="AP50" s="21"/>
      <c r="AQ50" s="19"/>
      <c r="AR50" s="20"/>
      <c r="AS50" s="21"/>
      <c r="AT50" s="19"/>
      <c r="AU50" s="20"/>
      <c r="AV50" s="21"/>
      <c r="AW50" s="19"/>
      <c r="AX50" s="19"/>
      <c r="AY50" s="19"/>
      <c r="AZ50" s="22"/>
      <c r="BA50" s="22"/>
      <c r="BB50" s="23"/>
      <c r="BC50" s="23"/>
      <c r="BD50" s="23"/>
    </row>
    <row r="51" spans="27:56" ht="13.5" customHeight="1">
      <c r="AA51" s="19"/>
      <c r="AB51" s="19"/>
      <c r="AC51" s="38"/>
      <c r="AD51" s="21"/>
      <c r="AE51" s="19"/>
      <c r="AF51" s="20"/>
      <c r="AG51" s="21"/>
      <c r="AH51" s="19"/>
      <c r="AI51" s="20"/>
      <c r="AJ51" s="21"/>
      <c r="AK51" s="19"/>
      <c r="AL51" s="20"/>
      <c r="AM51" s="21"/>
      <c r="AN51" s="19"/>
      <c r="AO51" s="20"/>
      <c r="AP51" s="21"/>
      <c r="AQ51" s="19"/>
      <c r="AR51" s="20"/>
      <c r="AS51" s="21"/>
      <c r="AT51" s="19"/>
      <c r="AU51" s="20"/>
      <c r="AV51" s="21"/>
      <c r="AW51" s="19"/>
      <c r="AX51" s="19"/>
      <c r="AY51" s="19"/>
      <c r="AZ51" s="22"/>
      <c r="BA51" s="22"/>
      <c r="BB51" s="23"/>
      <c r="BC51" s="23"/>
      <c r="BD51" s="23"/>
    </row>
    <row r="52" spans="27:56" ht="13.5" customHeight="1">
      <c r="AA52" s="19"/>
      <c r="AB52" s="19"/>
      <c r="AC52" s="38"/>
      <c r="AD52" s="21"/>
      <c r="AE52" s="19"/>
      <c r="AF52" s="20"/>
      <c r="AG52" s="21"/>
      <c r="AH52" s="19"/>
      <c r="AI52" s="20"/>
      <c r="AJ52" s="21"/>
      <c r="AK52" s="19"/>
      <c r="AL52" s="20"/>
      <c r="AM52" s="21"/>
      <c r="AN52" s="19"/>
      <c r="AO52" s="20"/>
      <c r="AP52" s="21"/>
      <c r="AQ52" s="19"/>
      <c r="AR52" s="20"/>
      <c r="AS52" s="21"/>
      <c r="AT52" s="19"/>
      <c r="AU52" s="20"/>
      <c r="AV52" s="21"/>
      <c r="AW52" s="19"/>
      <c r="AX52" s="19"/>
      <c r="AY52" s="19"/>
      <c r="AZ52" s="22"/>
      <c r="BA52" s="22"/>
      <c r="BB52" s="23"/>
      <c r="BC52" s="23"/>
      <c r="BD52" s="23"/>
    </row>
    <row r="53" spans="27:56" ht="13.5" customHeight="1">
      <c r="AA53" s="19"/>
      <c r="AB53" s="19"/>
      <c r="AC53" s="38"/>
      <c r="AD53" s="21"/>
      <c r="AE53" s="19"/>
      <c r="AF53" s="20"/>
      <c r="AG53" s="21"/>
      <c r="AH53" s="19"/>
      <c r="AI53" s="20"/>
      <c r="AJ53" s="21"/>
      <c r="AK53" s="19"/>
      <c r="AL53" s="20"/>
      <c r="AM53" s="21"/>
      <c r="AN53" s="19"/>
      <c r="AO53" s="20"/>
      <c r="AP53" s="21"/>
      <c r="AQ53" s="19"/>
      <c r="AR53" s="20"/>
      <c r="AS53" s="21"/>
      <c r="AT53" s="19"/>
      <c r="AU53" s="20"/>
      <c r="AV53" s="21"/>
      <c r="AW53" s="19"/>
      <c r="AX53" s="19"/>
      <c r="AY53" s="19"/>
      <c r="AZ53" s="22"/>
      <c r="BA53" s="22"/>
      <c r="BB53" s="23"/>
      <c r="BC53" s="23"/>
      <c r="BD53" s="23"/>
    </row>
    <row r="54" spans="27:56" ht="13.5" customHeight="1">
      <c r="AA54" s="19"/>
      <c r="AB54" s="19"/>
      <c r="AC54" s="38"/>
      <c r="AD54" s="21"/>
      <c r="AE54" s="19"/>
      <c r="AF54" s="20"/>
      <c r="AG54" s="21"/>
      <c r="AH54" s="19"/>
      <c r="AI54" s="20"/>
      <c r="AJ54" s="21"/>
      <c r="AK54" s="19"/>
      <c r="AL54" s="20"/>
      <c r="AM54" s="21"/>
      <c r="AN54" s="19"/>
      <c r="AO54" s="20"/>
      <c r="AP54" s="21"/>
      <c r="AQ54" s="19"/>
      <c r="AR54" s="20"/>
      <c r="AS54" s="21"/>
      <c r="AT54" s="19"/>
      <c r="AU54" s="20"/>
      <c r="AV54" s="21"/>
      <c r="AW54" s="19"/>
      <c r="AX54" s="19"/>
      <c r="AY54" s="19"/>
      <c r="AZ54" s="22"/>
      <c r="BA54" s="22"/>
      <c r="BB54" s="23"/>
      <c r="BC54" s="23"/>
      <c r="BD54" s="23"/>
    </row>
    <row r="55" spans="27:56" ht="13.5" customHeight="1">
      <c r="AA55" s="19"/>
      <c r="AB55" s="19"/>
      <c r="AC55" s="38"/>
      <c r="AD55" s="21"/>
      <c r="AE55" s="19"/>
      <c r="AF55" s="20"/>
      <c r="AG55" s="21"/>
      <c r="AH55" s="19"/>
      <c r="AI55" s="20"/>
      <c r="AJ55" s="21"/>
      <c r="AK55" s="19"/>
      <c r="AL55" s="20"/>
      <c r="AM55" s="21"/>
      <c r="AN55" s="19"/>
      <c r="AO55" s="20"/>
      <c r="AP55" s="21"/>
      <c r="AQ55" s="19"/>
      <c r="AR55" s="20"/>
      <c r="AS55" s="21"/>
      <c r="AT55" s="19"/>
      <c r="AU55" s="20"/>
      <c r="AV55" s="21"/>
      <c r="AW55" s="19"/>
      <c r="AX55" s="19"/>
      <c r="AY55" s="19"/>
      <c r="AZ55" s="22"/>
      <c r="BA55" s="22"/>
      <c r="BB55" s="23"/>
      <c r="BC55" s="23"/>
      <c r="BD55" s="23"/>
    </row>
    <row r="56" spans="27:56" ht="13.5" customHeight="1">
      <c r="AA56" s="19"/>
      <c r="AB56" s="19"/>
      <c r="AC56" s="38"/>
      <c r="AD56" s="21"/>
      <c r="AE56" s="19"/>
      <c r="AF56" s="20"/>
      <c r="AG56" s="21"/>
      <c r="AH56" s="19"/>
      <c r="AI56" s="20"/>
      <c r="AJ56" s="21"/>
      <c r="AK56" s="19"/>
      <c r="AL56" s="20"/>
      <c r="AM56" s="21"/>
      <c r="AN56" s="19"/>
      <c r="AO56" s="20"/>
      <c r="AP56" s="21"/>
      <c r="AQ56" s="19"/>
      <c r="AR56" s="20"/>
      <c r="AS56" s="21"/>
      <c r="AT56" s="19"/>
      <c r="AU56" s="20"/>
      <c r="AV56" s="21"/>
      <c r="AW56" s="19"/>
      <c r="AX56" s="19"/>
      <c r="AY56" s="19"/>
      <c r="AZ56" s="22"/>
      <c r="BA56" s="22"/>
      <c r="BB56" s="23"/>
      <c r="BC56" s="23"/>
      <c r="BD56" s="23"/>
    </row>
    <row r="57" spans="27:56" ht="13.5" customHeight="1">
      <c r="AA57" s="19"/>
      <c r="AB57" s="19"/>
      <c r="AC57" s="38"/>
      <c r="AD57" s="21"/>
      <c r="AE57" s="19"/>
      <c r="AF57" s="20"/>
      <c r="AG57" s="21"/>
      <c r="AH57" s="19"/>
      <c r="AI57" s="20"/>
      <c r="AJ57" s="21"/>
      <c r="AK57" s="19"/>
      <c r="AL57" s="20"/>
      <c r="AM57" s="21"/>
      <c r="AN57" s="19"/>
      <c r="AO57" s="20"/>
      <c r="AP57" s="21"/>
      <c r="AQ57" s="19"/>
      <c r="AR57" s="20"/>
      <c r="AS57" s="21"/>
      <c r="AT57" s="19"/>
      <c r="AU57" s="20"/>
      <c r="AV57" s="21"/>
      <c r="AW57" s="19"/>
      <c r="AX57" s="19"/>
      <c r="AY57" s="19"/>
      <c r="AZ57" s="22"/>
      <c r="BA57" s="22"/>
      <c r="BB57" s="23"/>
      <c r="BC57" s="23"/>
      <c r="BD57" s="23"/>
    </row>
    <row r="58" spans="27:56" ht="13.5" customHeight="1">
      <c r="AA58" s="19"/>
      <c r="AB58" s="19"/>
      <c r="AC58" s="38"/>
      <c r="AD58" s="21"/>
      <c r="AE58" s="19"/>
      <c r="AF58" s="20"/>
      <c r="AG58" s="21"/>
      <c r="AH58" s="19"/>
      <c r="AI58" s="20"/>
      <c r="AJ58" s="21"/>
      <c r="AK58" s="19"/>
      <c r="AL58" s="20"/>
      <c r="AM58" s="21"/>
      <c r="AN58" s="19"/>
      <c r="AO58" s="20"/>
      <c r="AP58" s="21"/>
      <c r="AQ58" s="19"/>
      <c r="AR58" s="20"/>
      <c r="AS58" s="21"/>
      <c r="AT58" s="19"/>
      <c r="AU58" s="20"/>
      <c r="AV58" s="21"/>
      <c r="AW58" s="19"/>
      <c r="AX58" s="19"/>
      <c r="AY58" s="19"/>
      <c r="AZ58" s="22"/>
      <c r="BA58" s="22"/>
      <c r="BB58" s="23"/>
      <c r="BC58" s="23"/>
      <c r="BD58" s="23"/>
    </row>
    <row r="59" spans="27:56" ht="13.5" customHeight="1">
      <c r="AA59" s="19"/>
      <c r="AB59" s="19"/>
      <c r="AC59" s="38"/>
      <c r="AD59" s="21"/>
      <c r="AE59" s="19"/>
      <c r="AF59" s="20"/>
      <c r="AG59" s="21"/>
      <c r="AH59" s="19"/>
      <c r="AI59" s="20"/>
      <c r="AJ59" s="21"/>
      <c r="AK59" s="19"/>
      <c r="AL59" s="20"/>
      <c r="AM59" s="21"/>
      <c r="AN59" s="19"/>
      <c r="AO59" s="20"/>
      <c r="AP59" s="21"/>
      <c r="AQ59" s="19"/>
      <c r="AR59" s="20"/>
      <c r="AS59" s="21"/>
      <c r="AT59" s="19"/>
      <c r="AU59" s="20"/>
      <c r="AV59" s="21"/>
      <c r="AW59" s="19"/>
      <c r="AX59" s="19"/>
      <c r="AY59" s="19"/>
      <c r="AZ59" s="22"/>
      <c r="BA59" s="22"/>
      <c r="BB59" s="23"/>
      <c r="BC59" s="23"/>
      <c r="BD59" s="23"/>
    </row>
    <row r="60" spans="27:56" ht="13.5" customHeight="1">
      <c r="AA60" s="19"/>
      <c r="AB60" s="19"/>
      <c r="AC60" s="38"/>
      <c r="AD60" s="21"/>
      <c r="AE60" s="19"/>
      <c r="AF60" s="20"/>
      <c r="AG60" s="21"/>
      <c r="AH60" s="19"/>
      <c r="AI60" s="20"/>
      <c r="AJ60" s="21"/>
      <c r="AK60" s="19"/>
      <c r="AL60" s="20"/>
      <c r="AM60" s="21"/>
      <c r="AN60" s="19"/>
      <c r="AO60" s="20"/>
      <c r="AP60" s="21"/>
      <c r="AQ60" s="19"/>
      <c r="AR60" s="20"/>
      <c r="AS60" s="21"/>
      <c r="AT60" s="19"/>
      <c r="AU60" s="20"/>
      <c r="AV60" s="21"/>
      <c r="AW60" s="19"/>
      <c r="AX60" s="19"/>
      <c r="AY60" s="19"/>
      <c r="AZ60" s="22"/>
      <c r="BA60" s="22"/>
      <c r="BB60" s="23"/>
      <c r="BC60" s="23"/>
      <c r="BD60" s="23"/>
    </row>
    <row r="61" spans="27:56" ht="13.5" customHeight="1">
      <c r="AA61" s="19"/>
      <c r="AB61" s="19"/>
      <c r="AC61" s="38"/>
      <c r="AD61" s="21"/>
      <c r="AE61" s="19"/>
      <c r="AF61" s="20"/>
      <c r="AG61" s="21"/>
      <c r="AH61" s="19"/>
      <c r="AI61" s="20"/>
      <c r="AJ61" s="21"/>
      <c r="AK61" s="19"/>
      <c r="AL61" s="20"/>
      <c r="AM61" s="21"/>
      <c r="AN61" s="19"/>
      <c r="AO61" s="20"/>
      <c r="AP61" s="21"/>
      <c r="AQ61" s="19"/>
      <c r="AR61" s="20"/>
      <c r="AS61" s="21"/>
      <c r="AT61" s="19"/>
      <c r="AU61" s="20"/>
      <c r="AV61" s="21"/>
      <c r="AW61" s="19"/>
      <c r="AX61" s="19"/>
      <c r="AY61" s="19"/>
      <c r="AZ61" s="22"/>
      <c r="BA61" s="22"/>
      <c r="BB61" s="23"/>
      <c r="BC61" s="23"/>
      <c r="BD61" s="23"/>
    </row>
    <row r="62" spans="27:56" ht="13.5" customHeight="1">
      <c r="AA62" s="19"/>
      <c r="AB62" s="19"/>
      <c r="AC62" s="38"/>
      <c r="AD62" s="21"/>
      <c r="AE62" s="19"/>
      <c r="AF62" s="20"/>
      <c r="AG62" s="21"/>
      <c r="AH62" s="19"/>
      <c r="AI62" s="20"/>
      <c r="AJ62" s="21"/>
      <c r="AK62" s="19"/>
      <c r="AL62" s="20"/>
      <c r="AM62" s="21"/>
      <c r="AN62" s="19"/>
      <c r="AO62" s="20"/>
      <c r="AP62" s="21"/>
      <c r="AQ62" s="19"/>
      <c r="AR62" s="20"/>
      <c r="AS62" s="21"/>
      <c r="AT62" s="19"/>
      <c r="AU62" s="20"/>
      <c r="AV62" s="21"/>
      <c r="AW62" s="19"/>
      <c r="AX62" s="19"/>
      <c r="AY62" s="19"/>
      <c r="AZ62" s="22"/>
      <c r="BA62" s="22"/>
      <c r="BB62" s="23"/>
      <c r="BC62" s="23"/>
      <c r="BD62" s="23"/>
    </row>
    <row r="63" spans="27:56" ht="13.5" customHeight="1">
      <c r="AA63" s="19"/>
      <c r="AB63" s="19"/>
      <c r="AC63" s="38"/>
      <c r="AD63" s="21"/>
      <c r="AE63" s="19"/>
      <c r="AF63" s="20"/>
      <c r="AG63" s="21"/>
      <c r="AH63" s="19"/>
      <c r="AI63" s="20"/>
      <c r="AJ63" s="21"/>
      <c r="AK63" s="19"/>
      <c r="AL63" s="20"/>
      <c r="AM63" s="21"/>
      <c r="AN63" s="19"/>
      <c r="AO63" s="20"/>
      <c r="AP63" s="21"/>
      <c r="AQ63" s="19"/>
      <c r="AR63" s="20"/>
      <c r="AS63" s="21"/>
      <c r="AT63" s="19"/>
      <c r="AU63" s="20"/>
      <c r="AV63" s="21"/>
      <c r="AW63" s="19"/>
      <c r="AX63" s="19"/>
      <c r="AY63" s="19"/>
      <c r="AZ63" s="22"/>
      <c r="BA63" s="22"/>
      <c r="BB63" s="23"/>
      <c r="BC63" s="23"/>
      <c r="BD63" s="23"/>
    </row>
    <row r="64" spans="27:56" ht="13.5" customHeight="1">
      <c r="AA64" s="19"/>
      <c r="AB64" s="19"/>
      <c r="AC64" s="38"/>
      <c r="AD64" s="21"/>
      <c r="AE64" s="19"/>
      <c r="AF64" s="20"/>
      <c r="AG64" s="21"/>
      <c r="AH64" s="19"/>
      <c r="AI64" s="20"/>
      <c r="AJ64" s="21"/>
      <c r="AK64" s="19"/>
      <c r="AL64" s="20"/>
      <c r="AM64" s="21"/>
      <c r="AN64" s="19"/>
      <c r="AO64" s="20"/>
      <c r="AP64" s="21"/>
      <c r="AQ64" s="19"/>
      <c r="AR64" s="20"/>
      <c r="AS64" s="21"/>
      <c r="AT64" s="19"/>
      <c r="AU64" s="20"/>
      <c r="AV64" s="21"/>
      <c r="AW64" s="19"/>
      <c r="AX64" s="19"/>
      <c r="AY64" s="19"/>
      <c r="AZ64" s="22"/>
      <c r="BA64" s="22"/>
      <c r="BB64" s="23"/>
      <c r="BC64" s="23"/>
      <c r="BD64" s="23"/>
    </row>
    <row r="65" spans="27:56" ht="13.5" customHeight="1">
      <c r="AA65" s="19"/>
      <c r="AB65" s="19"/>
      <c r="AC65" s="38"/>
      <c r="AD65" s="21"/>
      <c r="AE65" s="19"/>
      <c r="AF65" s="20"/>
      <c r="AG65" s="21"/>
      <c r="AH65" s="19"/>
      <c r="AI65" s="20"/>
      <c r="AJ65" s="21"/>
      <c r="AK65" s="19"/>
      <c r="AL65" s="20"/>
      <c r="AM65" s="21"/>
      <c r="AN65" s="19"/>
      <c r="AO65" s="20"/>
      <c r="AP65" s="21"/>
      <c r="AQ65" s="19"/>
      <c r="AR65" s="20"/>
      <c r="AS65" s="21"/>
      <c r="AT65" s="19"/>
      <c r="AU65" s="20"/>
      <c r="AV65" s="21"/>
      <c r="AW65" s="19"/>
      <c r="AX65" s="19"/>
      <c r="AY65" s="19"/>
      <c r="AZ65" s="22"/>
      <c r="BA65" s="22"/>
      <c r="BB65" s="23"/>
      <c r="BC65" s="23"/>
      <c r="BD65" s="23"/>
    </row>
    <row r="66" spans="27:56" ht="13.5" customHeight="1">
      <c r="AA66" s="19"/>
      <c r="AB66" s="19"/>
      <c r="AC66" s="38"/>
      <c r="AD66" s="21"/>
      <c r="AE66" s="19"/>
      <c r="AF66" s="20"/>
      <c r="AG66" s="21"/>
      <c r="AH66" s="19"/>
      <c r="AI66" s="20"/>
      <c r="AJ66" s="21"/>
      <c r="AK66" s="19"/>
      <c r="AL66" s="20"/>
      <c r="AM66" s="21"/>
      <c r="AN66" s="19"/>
      <c r="AO66" s="20"/>
      <c r="AP66" s="21"/>
      <c r="AQ66" s="19"/>
      <c r="AR66" s="20"/>
      <c r="AS66" s="21"/>
      <c r="AT66" s="19"/>
      <c r="AU66" s="20"/>
      <c r="AV66" s="21"/>
      <c r="AW66" s="19"/>
      <c r="AX66" s="19"/>
      <c r="AY66" s="19"/>
      <c r="AZ66" s="22"/>
      <c r="BA66" s="22"/>
      <c r="BB66" s="23"/>
      <c r="BC66" s="23"/>
      <c r="BD66" s="23"/>
    </row>
    <row r="67" spans="27:56" ht="13.5" customHeight="1">
      <c r="AA67" s="19"/>
      <c r="AB67" s="19"/>
      <c r="AC67" s="38"/>
      <c r="AD67" s="21"/>
      <c r="AE67" s="19"/>
      <c r="AF67" s="20"/>
      <c r="AG67" s="21"/>
      <c r="AH67" s="19"/>
      <c r="AI67" s="20"/>
      <c r="AJ67" s="21"/>
      <c r="AK67" s="19"/>
      <c r="AL67" s="20"/>
      <c r="AM67" s="21"/>
      <c r="AN67" s="19"/>
      <c r="AO67" s="20"/>
      <c r="AP67" s="21"/>
      <c r="AQ67" s="19"/>
      <c r="AR67" s="20"/>
      <c r="AS67" s="21"/>
      <c r="AT67" s="19"/>
      <c r="AU67" s="20"/>
      <c r="AV67" s="21"/>
      <c r="AW67" s="19"/>
      <c r="AX67" s="19"/>
      <c r="AY67" s="19"/>
      <c r="AZ67" s="22"/>
      <c r="BA67" s="22"/>
      <c r="BB67" s="23"/>
      <c r="BC67" s="23"/>
      <c r="BD67" s="23"/>
    </row>
    <row r="68" spans="27:56" ht="13.5" customHeight="1">
      <c r="AA68" s="19"/>
      <c r="AB68" s="19"/>
      <c r="AC68" s="38"/>
      <c r="AD68" s="21"/>
      <c r="AE68" s="19"/>
      <c r="AF68" s="20"/>
      <c r="AG68" s="21"/>
      <c r="AH68" s="19"/>
      <c r="AI68" s="20"/>
      <c r="AJ68" s="21"/>
      <c r="AK68" s="19"/>
      <c r="AL68" s="20"/>
      <c r="AM68" s="21"/>
      <c r="AN68" s="19"/>
      <c r="AO68" s="20"/>
      <c r="AP68" s="21"/>
      <c r="AQ68" s="19"/>
      <c r="AR68" s="20"/>
      <c r="AS68" s="21"/>
      <c r="AT68" s="19"/>
      <c r="AU68" s="20"/>
      <c r="AV68" s="21"/>
      <c r="AW68" s="19"/>
      <c r="AX68" s="19"/>
      <c r="AY68" s="19"/>
      <c r="AZ68" s="22"/>
      <c r="BA68" s="22"/>
      <c r="BB68" s="23"/>
      <c r="BC68" s="23"/>
      <c r="BD68" s="23"/>
    </row>
    <row r="69" spans="27:56" ht="13.5" customHeight="1">
      <c r="AA69" s="19"/>
      <c r="AB69" s="19"/>
      <c r="AC69" s="38"/>
      <c r="AD69" s="21"/>
      <c r="AE69" s="19"/>
      <c r="AF69" s="20"/>
      <c r="AG69" s="21"/>
      <c r="AH69" s="19"/>
      <c r="AI69" s="20"/>
      <c r="AJ69" s="21"/>
      <c r="AK69" s="19"/>
      <c r="AL69" s="20"/>
      <c r="AM69" s="21"/>
      <c r="AN69" s="19"/>
      <c r="AO69" s="20"/>
      <c r="AP69" s="21"/>
      <c r="AQ69" s="19"/>
      <c r="AR69" s="20"/>
      <c r="AS69" s="21"/>
      <c r="AT69" s="19"/>
      <c r="AU69" s="20"/>
      <c r="AV69" s="21"/>
      <c r="AW69" s="19"/>
      <c r="AX69" s="19"/>
      <c r="AY69" s="19"/>
      <c r="AZ69" s="22"/>
      <c r="BA69" s="22"/>
      <c r="BB69" s="23"/>
      <c r="BC69" s="23"/>
      <c r="BD69" s="23"/>
    </row>
    <row r="70" spans="27:56" ht="13.5" customHeight="1">
      <c r="AA70" s="19"/>
      <c r="AB70" s="19"/>
      <c r="AC70" s="38"/>
      <c r="AD70" s="21"/>
      <c r="AE70" s="19"/>
      <c r="AF70" s="20"/>
      <c r="AG70" s="21"/>
      <c r="AH70" s="19"/>
      <c r="AI70" s="20"/>
      <c r="AJ70" s="21"/>
      <c r="AK70" s="19"/>
      <c r="AL70" s="20"/>
      <c r="AM70" s="21"/>
      <c r="AN70" s="19"/>
      <c r="AO70" s="20"/>
      <c r="AP70" s="21"/>
      <c r="AQ70" s="19"/>
      <c r="AR70" s="20"/>
      <c r="AS70" s="21"/>
      <c r="AT70" s="19"/>
      <c r="AU70" s="20"/>
      <c r="AV70" s="21"/>
      <c r="AW70" s="19"/>
      <c r="AX70" s="19"/>
      <c r="AY70" s="19"/>
      <c r="AZ70" s="22"/>
      <c r="BA70" s="22"/>
      <c r="BB70" s="23"/>
      <c r="BC70" s="23"/>
      <c r="BD70" s="23"/>
    </row>
    <row r="71" spans="27:56" ht="13.5" customHeight="1">
      <c r="AA71" s="19"/>
      <c r="AB71" s="19"/>
      <c r="AC71" s="38"/>
      <c r="AD71" s="21"/>
      <c r="AE71" s="19"/>
      <c r="AF71" s="20"/>
      <c r="AG71" s="21"/>
      <c r="AH71" s="19"/>
      <c r="AI71" s="20"/>
      <c r="AJ71" s="21"/>
      <c r="AK71" s="19"/>
      <c r="AL71" s="20"/>
      <c r="AM71" s="21"/>
      <c r="AN71" s="19"/>
      <c r="AO71" s="20"/>
      <c r="AP71" s="21"/>
      <c r="AQ71" s="19"/>
      <c r="AR71" s="20"/>
      <c r="AS71" s="21"/>
      <c r="AT71" s="19"/>
      <c r="AU71" s="20"/>
      <c r="AV71" s="21"/>
      <c r="AW71" s="19"/>
      <c r="AX71" s="19"/>
      <c r="AY71" s="19"/>
      <c r="AZ71" s="22"/>
      <c r="BA71" s="22"/>
      <c r="BB71" s="23"/>
      <c r="BC71" s="23"/>
      <c r="BD71" s="23"/>
    </row>
    <row r="72" spans="27:56" ht="13.5" customHeight="1">
      <c r="AA72" s="19"/>
      <c r="AB72" s="19"/>
      <c r="AC72" s="38"/>
      <c r="AD72" s="21"/>
      <c r="AE72" s="19"/>
      <c r="AF72" s="20"/>
      <c r="AG72" s="21"/>
      <c r="AH72" s="19"/>
      <c r="AI72" s="20"/>
      <c r="AJ72" s="21"/>
      <c r="AK72" s="19"/>
      <c r="AL72" s="20"/>
      <c r="AM72" s="21"/>
      <c r="AN72" s="19"/>
      <c r="AO72" s="20"/>
      <c r="AP72" s="21"/>
      <c r="AQ72" s="19"/>
      <c r="AR72" s="20"/>
      <c r="AS72" s="21"/>
      <c r="AT72" s="19"/>
      <c r="AU72" s="20"/>
      <c r="AV72" s="21"/>
      <c r="AW72" s="19"/>
      <c r="AX72" s="19"/>
      <c r="AY72" s="19"/>
      <c r="AZ72" s="22"/>
      <c r="BA72" s="22"/>
      <c r="BB72" s="23"/>
      <c r="BC72" s="23"/>
      <c r="BD72" s="23"/>
    </row>
    <row r="73" spans="27:56" ht="13.5" customHeight="1">
      <c r="AA73" s="19"/>
      <c r="AB73" s="19"/>
      <c r="AC73" s="38"/>
      <c r="AD73" s="21"/>
      <c r="AE73" s="19"/>
      <c r="AF73" s="20"/>
      <c r="AG73" s="21"/>
      <c r="AH73" s="19"/>
      <c r="AI73" s="20"/>
      <c r="AJ73" s="21"/>
      <c r="AK73" s="19"/>
      <c r="AL73" s="20"/>
      <c r="AM73" s="21"/>
      <c r="AN73" s="19"/>
      <c r="AO73" s="20"/>
      <c r="AP73" s="21"/>
      <c r="AQ73" s="19"/>
      <c r="AR73" s="20"/>
      <c r="AS73" s="21"/>
      <c r="AT73" s="19"/>
      <c r="AU73" s="20"/>
      <c r="AV73" s="21"/>
      <c r="AW73" s="19"/>
      <c r="AX73" s="19"/>
      <c r="AY73" s="19"/>
      <c r="AZ73" s="22"/>
      <c r="BA73" s="22"/>
      <c r="BB73" s="23"/>
      <c r="BC73" s="23"/>
      <c r="BD73" s="23"/>
    </row>
    <row r="74" spans="27:56" ht="13.5" customHeight="1">
      <c r="AA74"/>
      <c r="AB74"/>
      <c r="AC74" s="40"/>
      <c r="AD74"/>
      <c r="AE74"/>
      <c r="AF74" s="24"/>
      <c r="AG74"/>
      <c r="AH74"/>
      <c r="AI74" s="24"/>
      <c r="AJ74"/>
      <c r="AK74"/>
      <c r="AL74" s="24"/>
      <c r="AM74"/>
      <c r="AN74"/>
      <c r="AO74" s="24"/>
      <c r="AP74"/>
      <c r="AQ74"/>
      <c r="AR74" s="24"/>
      <c r="AS74"/>
      <c r="AT74"/>
      <c r="AU74" s="24"/>
      <c r="AV74"/>
      <c r="AW74"/>
      <c r="AX74"/>
      <c r="AY74"/>
      <c r="AZ74"/>
      <c r="BA74"/>
      <c r="BB74"/>
      <c r="BC74"/>
      <c r="BD74"/>
    </row>
  </sheetData>
  <autoFilter ref="A1:Y31" xr:uid="{00000000-0001-0000-0000-000000000000}"/>
  <conditionalFormatting sqref="BA2:BA73">
    <cfRule type="cellIs" dxfId="1" priority="2" operator="equal">
      <formula>"dalam range"</formula>
    </cfRule>
  </conditionalFormatting>
  <conditionalFormatting sqref="BN2:BT31">
    <cfRule type="cellIs" dxfId="0" priority="1" operator="equal">
      <formula>"#3"</formula>
    </cfRule>
  </conditionalFormatting>
  <dataValidations count="1">
    <dataValidation type="list" allowBlank="1" showInputMessage="1" showErrorMessage="1" sqref="BN2:BT31" xr:uid="{6244FA60-6F07-4B21-8E38-10C5E800FFE9}">
      <formula1>"#0,#3"</formula1>
    </dataValidation>
  </dataValidation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BPS3200_38</dc:creator>
  <cp:keywords/>
  <dc:description/>
  <cp:lastModifiedBy>Marisa Intan</cp:lastModifiedBy>
  <cp:revision/>
  <dcterms:created xsi:type="dcterms:W3CDTF">2026-10-16T03:24:33Z</dcterms:created>
  <dcterms:modified xsi:type="dcterms:W3CDTF">2026-10-20T03:35:54Z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06B53B0D5E2C44D6A2311788733AE850_11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