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/>
  <xr:revisionPtr revIDLastSave="135" documentId="11_CFA2DDD40D14F7F7AB1C8D92005D7BA77F470FC4" xr6:coauthVersionLast="47" xr6:coauthVersionMax="47" xr10:uidLastSave="{F85B04AD-F833-4FA0-A9C5-A2A332DD6786}"/>
  <bookViews>
    <workbookView xWindow="0" yWindow="0" windowWidth="23040" windowHeight="9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8" i="1" l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  <c r="BG2" i="1"/>
  <c r="AF18" i="1"/>
  <c r="AL17" i="1"/>
  <c r="AF16" i="1"/>
  <c r="AR16" i="1"/>
  <c r="AF14" i="1"/>
  <c r="AF13" i="1"/>
  <c r="AL11" i="1"/>
  <c r="AL12" i="1"/>
  <c r="AR12" i="1"/>
  <c r="AR9" i="1"/>
  <c r="AF8" i="1"/>
  <c r="AF7" i="1"/>
  <c r="AF5" i="1"/>
  <c r="AL4" i="1"/>
  <c r="AF3" i="1"/>
  <c r="AR3" i="1"/>
  <c r="AR2" i="1"/>
  <c r="AC18" i="1"/>
  <c r="AC17" i="1"/>
  <c r="AC14" i="1"/>
  <c r="AC12" i="1"/>
  <c r="AC3" i="1"/>
  <c r="AC2" i="1"/>
  <c r="BM18" i="1"/>
  <c r="BT18" i="1" s="1"/>
  <c r="BL18" i="1"/>
  <c r="BS18" i="1" s="1"/>
  <c r="BK18" i="1"/>
  <c r="BR18" i="1" s="1"/>
  <c r="BJ18" i="1"/>
  <c r="BQ18" i="1" s="1"/>
  <c r="BI18" i="1"/>
  <c r="BP18" i="1" s="1"/>
  <c r="BD18" i="1"/>
  <c r="AT18" i="1"/>
  <c r="AV18" i="1" s="1"/>
  <c r="AQ18" i="1"/>
  <c r="AS18" i="1" s="1"/>
  <c r="AN18" i="1"/>
  <c r="AP18" i="1" s="1"/>
  <c r="AK18" i="1"/>
  <c r="AM18" i="1" s="1"/>
  <c r="AH18" i="1"/>
  <c r="AJ18" i="1" s="1"/>
  <c r="AE18" i="1"/>
  <c r="AG18" i="1" s="1"/>
  <c r="AA18" i="1"/>
  <c r="BM17" i="1"/>
  <c r="BT17" i="1" s="1"/>
  <c r="BL17" i="1"/>
  <c r="BS17" i="1" s="1"/>
  <c r="BK17" i="1"/>
  <c r="BR17" i="1" s="1"/>
  <c r="BI17" i="1"/>
  <c r="BP17" i="1" s="1"/>
  <c r="BH17" i="1"/>
  <c r="BO17" i="1" s="1"/>
  <c r="BD17" i="1"/>
  <c r="AT17" i="1"/>
  <c r="AV17" i="1" s="1"/>
  <c r="AQ17" i="1"/>
  <c r="AS17" i="1" s="1"/>
  <c r="AN17" i="1"/>
  <c r="AP17" i="1" s="1"/>
  <c r="AK17" i="1"/>
  <c r="AM17" i="1" s="1"/>
  <c r="BJ17" i="1" s="1"/>
  <c r="BQ17" i="1" s="1"/>
  <c r="AH17" i="1"/>
  <c r="AJ17" i="1" s="1"/>
  <c r="AE17" i="1"/>
  <c r="AG17" i="1" s="1"/>
  <c r="AX17" i="1" s="1"/>
  <c r="AA17" i="1"/>
  <c r="BM16" i="1"/>
  <c r="BT16" i="1" s="1"/>
  <c r="BK16" i="1"/>
  <c r="BR16" i="1" s="1"/>
  <c r="BJ16" i="1"/>
  <c r="BQ16" i="1" s="1"/>
  <c r="BI16" i="1"/>
  <c r="BP16" i="1" s="1"/>
  <c r="BN16" i="1"/>
  <c r="BD16" i="1"/>
  <c r="AT16" i="1"/>
  <c r="AV16" i="1" s="1"/>
  <c r="AQ16" i="1"/>
  <c r="AS16" i="1" s="1"/>
  <c r="BL16" i="1" s="1"/>
  <c r="BS16" i="1" s="1"/>
  <c r="AN16" i="1"/>
  <c r="AP16" i="1" s="1"/>
  <c r="AK16" i="1"/>
  <c r="AM16" i="1" s="1"/>
  <c r="AH16" i="1"/>
  <c r="AJ16" i="1" s="1"/>
  <c r="AE16" i="1"/>
  <c r="AG16" i="1" s="1"/>
  <c r="AA16" i="1"/>
  <c r="BM15" i="1"/>
  <c r="BT15" i="1" s="1"/>
  <c r="BL15" i="1"/>
  <c r="BS15" i="1" s="1"/>
  <c r="BK15" i="1"/>
  <c r="BR15" i="1" s="1"/>
  <c r="BJ15" i="1"/>
  <c r="BQ15" i="1" s="1"/>
  <c r="BI15" i="1"/>
  <c r="BP15" i="1" s="1"/>
  <c r="BH15" i="1"/>
  <c r="BO15" i="1" s="1"/>
  <c r="BN15" i="1"/>
  <c r="BD15" i="1"/>
  <c r="AT15" i="1"/>
  <c r="AV15" i="1" s="1"/>
  <c r="AQ15" i="1"/>
  <c r="AS15" i="1" s="1"/>
  <c r="AN15" i="1"/>
  <c r="AP15" i="1" s="1"/>
  <c r="AK15" i="1"/>
  <c r="AM15" i="1" s="1"/>
  <c r="AH15" i="1"/>
  <c r="AJ15" i="1" s="1"/>
  <c r="AE15" i="1"/>
  <c r="AG15" i="1" s="1"/>
  <c r="AX15" i="1" s="1"/>
  <c r="AA15" i="1"/>
  <c r="BM14" i="1"/>
  <c r="BT14" i="1" s="1"/>
  <c r="BL14" i="1"/>
  <c r="BS14" i="1" s="1"/>
  <c r="BK14" i="1"/>
  <c r="BR14" i="1" s="1"/>
  <c r="BJ14" i="1"/>
  <c r="BQ14" i="1" s="1"/>
  <c r="BI14" i="1"/>
  <c r="BP14" i="1" s="1"/>
  <c r="BD14" i="1"/>
  <c r="AT14" i="1"/>
  <c r="AV14" i="1" s="1"/>
  <c r="AQ14" i="1"/>
  <c r="AS14" i="1" s="1"/>
  <c r="AN14" i="1"/>
  <c r="AP14" i="1" s="1"/>
  <c r="AK14" i="1"/>
  <c r="AM14" i="1" s="1"/>
  <c r="AH14" i="1"/>
  <c r="AJ14" i="1" s="1"/>
  <c r="AE14" i="1"/>
  <c r="AG14" i="1" s="1"/>
  <c r="AA14" i="1"/>
  <c r="BM13" i="1"/>
  <c r="BT13" i="1" s="1"/>
  <c r="BL13" i="1"/>
  <c r="BS13" i="1" s="1"/>
  <c r="BK13" i="1"/>
  <c r="BR13" i="1" s="1"/>
  <c r="BJ13" i="1"/>
  <c r="BQ13" i="1" s="1"/>
  <c r="BI13" i="1"/>
  <c r="BP13" i="1" s="1"/>
  <c r="BN13" i="1"/>
  <c r="BD13" i="1"/>
  <c r="AT13" i="1"/>
  <c r="AV13" i="1" s="1"/>
  <c r="AQ13" i="1"/>
  <c r="AS13" i="1" s="1"/>
  <c r="AN13" i="1"/>
  <c r="AP13" i="1" s="1"/>
  <c r="AK13" i="1"/>
  <c r="AM13" i="1" s="1"/>
  <c r="AH13" i="1"/>
  <c r="AJ13" i="1" s="1"/>
  <c r="AE13" i="1"/>
  <c r="AG13" i="1" s="1"/>
  <c r="AA13" i="1"/>
  <c r="BM12" i="1"/>
  <c r="BT12" i="1" s="1"/>
  <c r="BK12" i="1"/>
  <c r="BR12" i="1" s="1"/>
  <c r="BI12" i="1"/>
  <c r="BP12" i="1" s="1"/>
  <c r="BH12" i="1"/>
  <c r="BO12" i="1" s="1"/>
  <c r="BD12" i="1"/>
  <c r="AT12" i="1"/>
  <c r="AV12" i="1" s="1"/>
  <c r="AQ12" i="1"/>
  <c r="AS12" i="1" s="1"/>
  <c r="BL12" i="1" s="1"/>
  <c r="BS12" i="1" s="1"/>
  <c r="AN12" i="1"/>
  <c r="AP12" i="1" s="1"/>
  <c r="AK12" i="1"/>
  <c r="AM12" i="1" s="1"/>
  <c r="BJ12" i="1" s="1"/>
  <c r="BQ12" i="1" s="1"/>
  <c r="AH12" i="1"/>
  <c r="AJ12" i="1" s="1"/>
  <c r="AE12" i="1"/>
  <c r="AG12" i="1" s="1"/>
  <c r="AX12" i="1" s="1"/>
  <c r="AA12" i="1"/>
  <c r="BM11" i="1"/>
  <c r="BT11" i="1" s="1"/>
  <c r="BK11" i="1"/>
  <c r="BR11" i="1" s="1"/>
  <c r="BI11" i="1"/>
  <c r="BP11" i="1" s="1"/>
  <c r="BH11" i="1"/>
  <c r="BO11" i="1" s="1"/>
  <c r="BN11" i="1"/>
  <c r="BD11" i="1"/>
  <c r="AT11" i="1"/>
  <c r="AV11" i="1" s="1"/>
  <c r="AQ11" i="1"/>
  <c r="AS11" i="1" s="1"/>
  <c r="BL11" i="1" s="1"/>
  <c r="BS11" i="1" s="1"/>
  <c r="AN11" i="1"/>
  <c r="AP11" i="1" s="1"/>
  <c r="AK11" i="1"/>
  <c r="AM11" i="1" s="1"/>
  <c r="BJ11" i="1" s="1"/>
  <c r="BQ11" i="1" s="1"/>
  <c r="AH11" i="1"/>
  <c r="AJ11" i="1" s="1"/>
  <c r="AE11" i="1"/>
  <c r="AG11" i="1" s="1"/>
  <c r="AX11" i="1" s="1"/>
  <c r="AA11" i="1"/>
  <c r="BM10" i="1"/>
  <c r="BT10" i="1" s="1"/>
  <c r="BL10" i="1"/>
  <c r="BS10" i="1" s="1"/>
  <c r="BK10" i="1"/>
  <c r="BR10" i="1" s="1"/>
  <c r="BJ10" i="1"/>
  <c r="BQ10" i="1" s="1"/>
  <c r="BI10" i="1"/>
  <c r="BP10" i="1" s="1"/>
  <c r="BH10" i="1"/>
  <c r="BO10" i="1" s="1"/>
  <c r="BN10" i="1"/>
  <c r="BD10" i="1"/>
  <c r="AT10" i="1"/>
  <c r="AV10" i="1" s="1"/>
  <c r="AQ10" i="1"/>
  <c r="AS10" i="1" s="1"/>
  <c r="AN10" i="1"/>
  <c r="AP10" i="1" s="1"/>
  <c r="AK10" i="1"/>
  <c r="AM10" i="1" s="1"/>
  <c r="AH10" i="1"/>
  <c r="AJ10" i="1" s="1"/>
  <c r="AE10" i="1"/>
  <c r="AG10" i="1" s="1"/>
  <c r="AX10" i="1" s="1"/>
  <c r="AA10" i="1"/>
  <c r="BM9" i="1"/>
  <c r="BT9" i="1" s="1"/>
  <c r="BK9" i="1"/>
  <c r="BR9" i="1" s="1"/>
  <c r="BJ9" i="1"/>
  <c r="BQ9" i="1" s="1"/>
  <c r="BI9" i="1"/>
  <c r="BP9" i="1" s="1"/>
  <c r="BD9" i="1"/>
  <c r="AT9" i="1"/>
  <c r="AV9" i="1" s="1"/>
  <c r="AQ9" i="1"/>
  <c r="AS9" i="1" s="1"/>
  <c r="BL9" i="1" s="1"/>
  <c r="BS9" i="1" s="1"/>
  <c r="AN9" i="1"/>
  <c r="AP9" i="1" s="1"/>
  <c r="AK9" i="1"/>
  <c r="AM9" i="1" s="1"/>
  <c r="AH9" i="1"/>
  <c r="AJ9" i="1" s="1"/>
  <c r="AE9" i="1"/>
  <c r="AG9" i="1" s="1"/>
  <c r="AA9" i="1"/>
  <c r="BM8" i="1"/>
  <c r="BT8" i="1" s="1"/>
  <c r="BL8" i="1"/>
  <c r="BS8" i="1" s="1"/>
  <c r="BK8" i="1"/>
  <c r="BR8" i="1" s="1"/>
  <c r="BJ8" i="1"/>
  <c r="BQ8" i="1" s="1"/>
  <c r="BI8" i="1"/>
  <c r="BP8" i="1" s="1"/>
  <c r="BN8" i="1"/>
  <c r="BD8" i="1"/>
  <c r="AT8" i="1"/>
  <c r="AV8" i="1" s="1"/>
  <c r="AQ8" i="1"/>
  <c r="AS8" i="1" s="1"/>
  <c r="AN8" i="1"/>
  <c r="AP8" i="1" s="1"/>
  <c r="AK8" i="1"/>
  <c r="AM8" i="1" s="1"/>
  <c r="AH8" i="1"/>
  <c r="AJ8" i="1" s="1"/>
  <c r="AE8" i="1"/>
  <c r="AG8" i="1" s="1"/>
  <c r="AA8" i="1"/>
  <c r="BM7" i="1"/>
  <c r="BT7" i="1" s="1"/>
  <c r="BL7" i="1"/>
  <c r="BS7" i="1" s="1"/>
  <c r="BK7" i="1"/>
  <c r="BR7" i="1" s="1"/>
  <c r="BJ7" i="1"/>
  <c r="BQ7" i="1" s="1"/>
  <c r="BI7" i="1"/>
  <c r="BP7" i="1" s="1"/>
  <c r="BN7" i="1"/>
  <c r="BD7" i="1"/>
  <c r="AT7" i="1"/>
  <c r="AV7" i="1" s="1"/>
  <c r="AQ7" i="1"/>
  <c r="AS7" i="1" s="1"/>
  <c r="AN7" i="1"/>
  <c r="AP7" i="1" s="1"/>
  <c r="AK7" i="1"/>
  <c r="AM7" i="1" s="1"/>
  <c r="AH7" i="1"/>
  <c r="AJ7" i="1" s="1"/>
  <c r="AE7" i="1"/>
  <c r="AG7" i="1" s="1"/>
  <c r="AA7" i="1"/>
  <c r="BM6" i="1"/>
  <c r="BT6" i="1" s="1"/>
  <c r="BL6" i="1"/>
  <c r="BS6" i="1" s="1"/>
  <c r="BK6" i="1"/>
  <c r="BR6" i="1" s="1"/>
  <c r="BJ6" i="1"/>
  <c r="BQ6" i="1" s="1"/>
  <c r="BI6" i="1"/>
  <c r="BP6" i="1" s="1"/>
  <c r="BH6" i="1"/>
  <c r="BO6" i="1" s="1"/>
  <c r="BD6" i="1"/>
  <c r="AT6" i="1"/>
  <c r="AV6" i="1" s="1"/>
  <c r="AQ6" i="1"/>
  <c r="AS6" i="1" s="1"/>
  <c r="AN6" i="1"/>
  <c r="AP6" i="1" s="1"/>
  <c r="AK6" i="1"/>
  <c r="AM6" i="1" s="1"/>
  <c r="AH6" i="1"/>
  <c r="AJ6" i="1" s="1"/>
  <c r="AE6" i="1"/>
  <c r="AG6" i="1" s="1"/>
  <c r="AX6" i="1" s="1"/>
  <c r="AA6" i="1"/>
  <c r="BM5" i="1"/>
  <c r="BT5" i="1" s="1"/>
  <c r="BL5" i="1"/>
  <c r="BS5" i="1" s="1"/>
  <c r="BK5" i="1"/>
  <c r="BR5" i="1" s="1"/>
  <c r="BJ5" i="1"/>
  <c r="BQ5" i="1" s="1"/>
  <c r="BI5" i="1"/>
  <c r="BP5" i="1" s="1"/>
  <c r="BD5" i="1"/>
  <c r="AT5" i="1"/>
  <c r="AV5" i="1" s="1"/>
  <c r="AQ5" i="1"/>
  <c r="AS5" i="1" s="1"/>
  <c r="AN5" i="1"/>
  <c r="AP5" i="1" s="1"/>
  <c r="AK5" i="1"/>
  <c r="AM5" i="1" s="1"/>
  <c r="AH5" i="1"/>
  <c r="AJ5" i="1" s="1"/>
  <c r="AE5" i="1"/>
  <c r="AG5" i="1" s="1"/>
  <c r="AA5" i="1"/>
  <c r="BM4" i="1"/>
  <c r="BT4" i="1" s="1"/>
  <c r="BL4" i="1"/>
  <c r="BS4" i="1" s="1"/>
  <c r="BK4" i="1"/>
  <c r="BR4" i="1" s="1"/>
  <c r="BI4" i="1"/>
  <c r="BP4" i="1" s="1"/>
  <c r="BH4" i="1"/>
  <c r="BO4" i="1" s="1"/>
  <c r="BD4" i="1"/>
  <c r="AT4" i="1"/>
  <c r="AV4" i="1" s="1"/>
  <c r="AQ4" i="1"/>
  <c r="AS4" i="1" s="1"/>
  <c r="AN4" i="1"/>
  <c r="AP4" i="1" s="1"/>
  <c r="AK4" i="1"/>
  <c r="AM4" i="1" s="1"/>
  <c r="BJ4" i="1" s="1"/>
  <c r="BQ4" i="1" s="1"/>
  <c r="AH4" i="1"/>
  <c r="AJ4" i="1" s="1"/>
  <c r="AE4" i="1"/>
  <c r="AG4" i="1" s="1"/>
  <c r="AX4" i="1" s="1"/>
  <c r="AA4" i="1"/>
  <c r="BM3" i="1"/>
  <c r="BT3" i="1" s="1"/>
  <c r="BK3" i="1"/>
  <c r="BR3" i="1" s="1"/>
  <c r="BJ3" i="1"/>
  <c r="BQ3" i="1" s="1"/>
  <c r="BI3" i="1"/>
  <c r="BP3" i="1" s="1"/>
  <c r="BD3" i="1"/>
  <c r="AT3" i="1"/>
  <c r="AV3" i="1" s="1"/>
  <c r="AQ3" i="1"/>
  <c r="AS3" i="1" s="1"/>
  <c r="BL3" i="1" s="1"/>
  <c r="BS3" i="1" s="1"/>
  <c r="AN3" i="1"/>
  <c r="AP3" i="1" s="1"/>
  <c r="AK3" i="1"/>
  <c r="AM3" i="1" s="1"/>
  <c r="AH3" i="1"/>
  <c r="AJ3" i="1" s="1"/>
  <c r="AE3" i="1"/>
  <c r="AG3" i="1" s="1"/>
  <c r="AA3" i="1"/>
  <c r="BD2" i="1"/>
  <c r="AT2" i="1"/>
  <c r="AV2" i="1" s="1"/>
  <c r="AQ2" i="1"/>
  <c r="AS2" i="1" s="1"/>
  <c r="AN2" i="1"/>
  <c r="AP2" i="1" s="1"/>
  <c r="AK2" i="1"/>
  <c r="AM2" i="1" s="1"/>
  <c r="AH2" i="1"/>
  <c r="AJ2" i="1" s="1"/>
  <c r="AE2" i="1"/>
  <c r="AG2" i="1" s="1"/>
  <c r="AX2" i="1" s="1"/>
  <c r="AA2" i="1"/>
  <c r="BM2" i="1"/>
  <c r="BT2" i="1" s="1"/>
  <c r="BK2" i="1"/>
  <c r="BR2" i="1" s="1"/>
  <c r="BJ2" i="1"/>
  <c r="BQ2" i="1" s="1"/>
  <c r="BI2" i="1"/>
  <c r="BP2" i="1" s="1"/>
  <c r="BH2" i="1"/>
  <c r="BO2" i="1" s="1"/>
  <c r="AX18" i="1" l="1"/>
  <c r="BH18" i="1"/>
  <c r="BO18" i="1" s="1"/>
  <c r="AX16" i="1"/>
  <c r="BH16" i="1"/>
  <c r="BO16" i="1" s="1"/>
  <c r="AX14" i="1"/>
  <c r="BH14" i="1"/>
  <c r="BO14" i="1" s="1"/>
  <c r="AX13" i="1"/>
  <c r="BH13" i="1"/>
  <c r="BO13" i="1" s="1"/>
  <c r="AX9" i="1"/>
  <c r="BH9" i="1"/>
  <c r="BO9" i="1" s="1"/>
  <c r="AX8" i="1"/>
  <c r="BH8" i="1"/>
  <c r="BO8" i="1" s="1"/>
  <c r="AX7" i="1"/>
  <c r="BH7" i="1"/>
  <c r="BO7" i="1" s="1"/>
  <c r="AX5" i="1"/>
  <c r="BH5" i="1"/>
  <c r="BO5" i="1" s="1"/>
  <c r="AX3" i="1"/>
  <c r="BH3" i="1"/>
  <c r="BO3" i="1" s="1"/>
  <c r="AD3" i="1"/>
  <c r="BN3" i="1" s="1"/>
  <c r="AB3" i="1"/>
  <c r="AW3" i="1"/>
  <c r="AY3" i="1" s="1"/>
  <c r="AZ3" i="1" s="1"/>
  <c r="BA3" i="1" s="1"/>
  <c r="AD4" i="1"/>
  <c r="BN4" i="1" s="1"/>
  <c r="AB4" i="1"/>
  <c r="AW4" i="1"/>
  <c r="AY4" i="1" s="1"/>
  <c r="AZ4" i="1" s="1"/>
  <c r="BA4" i="1" s="1"/>
  <c r="AD5" i="1"/>
  <c r="BN5" i="1" s="1"/>
  <c r="AB5" i="1"/>
  <c r="AW5" i="1"/>
  <c r="AY5" i="1" s="1"/>
  <c r="AZ5" i="1" s="1"/>
  <c r="BA5" i="1" s="1"/>
  <c r="AD6" i="1"/>
  <c r="BN6" i="1" s="1"/>
  <c r="AB6" i="1"/>
  <c r="AW6" i="1"/>
  <c r="AY6" i="1" s="1"/>
  <c r="AZ6" i="1" s="1"/>
  <c r="BA6" i="1" s="1"/>
  <c r="AD7" i="1"/>
  <c r="AB7" i="1"/>
  <c r="AW7" i="1"/>
  <c r="AY7" i="1" s="1"/>
  <c r="AZ7" i="1" s="1"/>
  <c r="BA7" i="1" s="1"/>
  <c r="AD8" i="1"/>
  <c r="AB8" i="1"/>
  <c r="AW8" i="1"/>
  <c r="AY8" i="1" s="1"/>
  <c r="AZ8" i="1" s="1"/>
  <c r="BA8" i="1" s="1"/>
  <c r="AD9" i="1"/>
  <c r="BN9" i="1" s="1"/>
  <c r="AB9" i="1"/>
  <c r="AW9" i="1"/>
  <c r="AY9" i="1" s="1"/>
  <c r="AZ9" i="1" s="1"/>
  <c r="BA9" i="1" s="1"/>
  <c r="AD10" i="1"/>
  <c r="AB10" i="1"/>
  <c r="AW10" i="1"/>
  <c r="AY10" i="1" s="1"/>
  <c r="AZ10" i="1" s="1"/>
  <c r="BA10" i="1" s="1"/>
  <c r="AD11" i="1"/>
  <c r="AB11" i="1"/>
  <c r="AW11" i="1"/>
  <c r="AY11" i="1" s="1"/>
  <c r="AZ11" i="1" s="1"/>
  <c r="BA11" i="1" s="1"/>
  <c r="AD12" i="1"/>
  <c r="BN12" i="1" s="1"/>
  <c r="AB12" i="1"/>
  <c r="AW12" i="1"/>
  <c r="AY12" i="1" s="1"/>
  <c r="AZ12" i="1" s="1"/>
  <c r="BA12" i="1" s="1"/>
  <c r="AD13" i="1"/>
  <c r="AB13" i="1"/>
  <c r="AW13" i="1"/>
  <c r="AY13" i="1" s="1"/>
  <c r="AZ13" i="1" s="1"/>
  <c r="BA13" i="1" s="1"/>
  <c r="AD14" i="1"/>
  <c r="BN14" i="1" s="1"/>
  <c r="AB14" i="1"/>
  <c r="AW14" i="1"/>
  <c r="AY14" i="1" s="1"/>
  <c r="AZ14" i="1" s="1"/>
  <c r="BA14" i="1" s="1"/>
  <c r="AD15" i="1"/>
  <c r="AB15" i="1"/>
  <c r="AW15" i="1"/>
  <c r="AY15" i="1" s="1"/>
  <c r="AZ15" i="1" s="1"/>
  <c r="BA15" i="1" s="1"/>
  <c r="AD16" i="1"/>
  <c r="AB16" i="1"/>
  <c r="AW16" i="1"/>
  <c r="AY16" i="1" s="1"/>
  <c r="AZ16" i="1" s="1"/>
  <c r="BA16" i="1" s="1"/>
  <c r="AD17" i="1"/>
  <c r="BN17" i="1" s="1"/>
  <c r="AB17" i="1"/>
  <c r="AW17" i="1"/>
  <c r="AY17" i="1" s="1"/>
  <c r="AZ17" i="1" s="1"/>
  <c r="BA17" i="1" s="1"/>
  <c r="AD18" i="1"/>
  <c r="BN18" i="1" s="1"/>
  <c r="AB18" i="1"/>
  <c r="AW18" i="1"/>
  <c r="AY18" i="1" s="1"/>
  <c r="AZ18" i="1" s="1"/>
  <c r="BA18" i="1" s="1"/>
  <c r="AD2" i="1"/>
  <c r="AB2" i="1"/>
  <c r="AW2" i="1"/>
  <c r="AY2" i="1" s="1"/>
  <c r="AZ2" i="1" s="1"/>
  <c r="BA2" i="1" s="1"/>
  <c r="BL2" i="1"/>
  <c r="BS2" i="1" s="1"/>
  <c r="BN2" i="1"/>
</calcChain>
</file>

<file path=xl/sharedStrings.xml><?xml version="1.0" encoding="utf-8"?>
<sst xmlns="http://schemas.openxmlformats.org/spreadsheetml/2006/main" count="224" uniqueCount="153">
  <si>
    <t>level_2_full_code</t>
  </si>
  <si>
    <t>kategori</t>
  </si>
  <si>
    <t>kode_kbli</t>
  </si>
  <si>
    <t>tahun_operasi</t>
  </si>
  <si>
    <t>nama_usaha</t>
  </si>
  <si>
    <t>keg_utama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</si>
  <si>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</si>
  <si>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</si>
  <si>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</si>
  <si>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</si>
  <si>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</si>
  <si>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</si>
  <si>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</si>
  <si>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</si>
  <si>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</si>
  <si>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</si>
  <si>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</si>
  <si>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</si>
  <si>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reklasifikasi_skala_usaha</t>
  </si>
  <si>
    <t>skala_usaha_prelist</t>
  </si>
  <si>
    <t>rasio_ntb</t>
  </si>
  <si>
    <t>produktivitas</t>
  </si>
  <si>
    <t>flag_rasio_3_ntb_output</t>
  </si>
  <si>
    <t>link_fasih_sm</t>
  </si>
  <si>
    <t>catatan</t>
  </si>
  <si>
    <t>Upah gaji/TK</t>
  </si>
  <si>
    <t>Adj</t>
  </si>
  <si>
    <t>Upah gaji/Tk Adjusted</t>
  </si>
  <si>
    <t xml:space="preserve"> metrik_biaya_produksi adjusted</t>
  </si>
  <si>
    <t xml:space="preserve">metrik_biaya_pembelian </t>
  </si>
  <si>
    <t>metrik_biaya_pembelian adjusted</t>
  </si>
  <si>
    <t xml:space="preserve"> metrik_biaya_operasional adjusted</t>
  </si>
  <si>
    <t xml:space="preserve">metrik_biaya_non_operasional </t>
  </si>
  <si>
    <t>metrik_biaya_non_operasional  adjusted</t>
  </si>
  <si>
    <t xml:space="preserve">metrik_pendapatan_barang_jasa </t>
  </si>
  <si>
    <t>metrik_pendapatan_barang_jasa adjusted</t>
  </si>
  <si>
    <t xml:space="preserve">metrik_pendapatan_lainnya </t>
  </si>
  <si>
    <t>metrik_pendapatan_lainnya adjusted</t>
  </si>
  <si>
    <t>Output Hitung</t>
  </si>
  <si>
    <t>Konsumsi Antara Hitung</t>
  </si>
  <si>
    <t>Nilai Tambah Hitung</t>
  </si>
  <si>
    <t>Rasio NTB Hitung</t>
  </si>
  <si>
    <t>Range Rasio NTB</t>
  </si>
  <si>
    <t>Batas bawah rasio NTB</t>
  </si>
  <si>
    <t>Batas atas rasio NTB</t>
  </si>
  <si>
    <t>Rasio NTB (Jika Adjustmen, maka perbaiki manual)</t>
  </si>
  <si>
    <t>KBLI (menjadi)</t>
  </si>
  <si>
    <t>metrik_upah_gaji (menjadi)</t>
  </si>
  <si>
    <t>metrik_biaya_produksin (mejadi)</t>
  </si>
  <si>
    <t>metrik_biaya_pembelian (menjadi)</t>
  </si>
  <si>
    <t>metrik_biaya_operasional (menjadi)</t>
  </si>
  <si>
    <t>metrik_biaya_non_operasional (menjadi)</t>
  </si>
  <si>
    <t>metrik_pendapatan_barang_jasa (menjadi)</t>
  </si>
  <si>
    <t>metrik_pendapatan_lainnya (menjadi)</t>
  </si>
  <si>
    <t>metrik_upah_gaji (Remark)</t>
  </si>
  <si>
    <t>metrik_biaya_produksin (Remark)</t>
  </si>
  <si>
    <t>metrik_biaya_pembelian (Remark)</t>
  </si>
  <si>
    <t>metrik_biaya_operasional (Remark)</t>
  </si>
  <si>
    <t>metrik_biaya_non_operasional (Remark)</t>
  </si>
  <si>
    <t>metrik_pendapatan_barang_jasa (Remark)</t>
  </si>
  <si>
    <t>metrik_pendapatan_lainnya (Remark)</t>
  </si>
  <si>
    <t>Siap Input</t>
  </si>
  <si>
    <t>Sudah Diinput</t>
  </si>
  <si>
    <t>3275</t>
  </si>
  <si>
    <t>M</t>
  </si>
  <si>
    <t>68111</t>
  </si>
  <si>
    <t>2010</t>
  </si>
  <si>
    <t>CIPTA GRAHA HARAPAN, PT</t>
  </si>
  <si>
    <t>MEMBANGUN DAN MENJUAL PRODUK PERUMAHAN</t>
  </si>
  <si>
    <t>UB</t>
  </si>
  <si>
    <t>https://fasih-sm.bps.go.id/app/assignment/fd68e454-ba45-4b85-8205-f3bf777ded24/7ef124fa-1de5-4df3-bd76-b7ae417196f6</t>
  </si>
  <si>
    <t>Perusahasn welcome</t>
  </si>
  <si>
    <t>3273</t>
  </si>
  <si>
    <t>68210</t>
  </si>
  <si>
    <t>2017</t>
  </si>
  <si>
    <t>MIMPI TANPA BATAS, PT</t>
  </si>
  <si>
    <t>Real estat atas dasar balas jasa (fee) atau kontrak</t>
  </si>
  <si>
    <t>https://fasih-sm.bps.go.id/app/assignment/fd68e454-ba45-4b85-8205-f3bf777ded24/dfa17381-9baa-423b-b22f-9105549d72a2</t>
  </si>
  <si>
    <t>3211</t>
  </si>
  <si>
    <t>68121</t>
  </si>
  <si>
    <t>2022</t>
  </si>
  <si>
    <t>TOGA HILLS</t>
  </si>
  <si>
    <t>TEMPAT WISATA ALAM DAN RESTO</t>
  </si>
  <si>
    <t>UMK</t>
  </si>
  <si>
    <t>https://fasih-sm.bps.go.id/app/assignment/fd68e454-ba45-4b85-8205-f3bf777ded24/50e352a8-7a76-460a-a98d-2d88a4b741d2</t>
  </si>
  <si>
    <t xml:space="preserve"> TIMAH KARYA PERSADA PROPERTI, PT</t>
  </si>
  <si>
    <t>MEMBANGUN REAL ESTAT</t>
  </si>
  <si>
    <t>https://fasih-sm.bps.go.id/app/assignment/fd68e454-ba45-4b85-8205-f3bf777ded24/5a0c2898-0d95-4ce9-8e92-58d28bae8d01</t>
  </si>
  <si>
    <t>Modal aslinya korporasi publik 99, 75 % Korporasi non puiblik 0, 25 %. Di fasih ga bisa nulis koma</t>
  </si>
  <si>
    <t>2025</t>
  </si>
  <si>
    <t>PENYEWAAN KONTRAKAN</t>
  </si>
  <si>
    <t xml:space="preserve">Sewa kontrakan </t>
  </si>
  <si>
    <t>https://fasih-sm.bps.go.id/app/assignment/fd68e454-ba45-4b85-8205-f3bf777ded24/4f1b055b-6c8f-493d-a5cb-2f6f011f6952</t>
  </si>
  <si>
    <t>68129</t>
  </si>
  <si>
    <t>2016</t>
  </si>
  <si>
    <t>PRIMA ORCHARD TRADE MALL</t>
  </si>
  <si>
    <t>Menyewakan ruko dan ruangan untuk bisnis dan hunian</t>
  </si>
  <si>
    <t>https://fasih-sm.bps.go.id/app/assignment/fd68e454-ba45-4b85-8205-f3bf777ded24/e2d9b314-6928-4883-b7d9-5f439a10561e</t>
  </si>
  <si>
    <t>2013</t>
  </si>
  <si>
    <t>GRAND METROPOLITAN</t>
  </si>
  <si>
    <t>PUSAT PERBELANJAAN</t>
  </si>
  <si>
    <t>https://fasih-sm.bps.go.id/app/assignment/fd68e454-ba45-4b85-8205-f3bf777ded24/69f5370d-cf07-4939-b044-0dd61f229b71</t>
  </si>
  <si>
    <t xml:space="preserve">Senin tgl 22 juli selesai </t>
  </si>
  <si>
    <t>3217</t>
  </si>
  <si>
    <t>2023</t>
  </si>
  <si>
    <t>HUNI KARYA PARAHYANGAN, PT</t>
  </si>
  <si>
    <t>KANTOR PEMASARAN DEVELOFER</t>
  </si>
  <si>
    <t>https://fasih-sm.bps.go.id/app/assignment/fd68e454-ba45-4b85-8205-f3bf777ded24/497c2917-b379-4b55-969d-77417246294d</t>
  </si>
  <si>
    <t>-</t>
  </si>
  <si>
    <t>2014</t>
  </si>
  <si>
    <t>PESONA JATI ABADI.PT</t>
  </si>
  <si>
    <t>DEVELOPER DAN KONTRUKSI KAWASAN PERUMAHAN</t>
  </si>
  <si>
    <t>UM</t>
  </si>
  <si>
    <t>https://fasih-sm.bps.go.id/app/assignment/fd68e454-ba45-4b85-8205-f3bf777ded24/1a177ec2-4d63-43bb-973b-3bf5c389c580</t>
  </si>
  <si>
    <t>PENERIMAAN PEMILIK/ PENANGGUNG JAWAB SANGAT BAIK</t>
  </si>
  <si>
    <t>3271</t>
  </si>
  <si>
    <t>68125</t>
  </si>
  <si>
    <t>2020</t>
  </si>
  <si>
    <t>SINAR INDONESIA LOKA, PT</t>
  </si>
  <si>
    <t xml:space="preserve">PUSAT PERDAGANGAN </t>
  </si>
  <si>
    <t>https://fasih-sm.bps.go.id/app/assignment/fd68e454-ba45-4b85-8205-f3bf777ded24/c5971546-d2f0-4b7b-91ec-2fe85f60e499</t>
  </si>
  <si>
    <t>3215</t>
  </si>
  <si>
    <t>1996</t>
  </si>
  <si>
    <t>BUKIT MURIA JAYA ESTATE, PT</t>
  </si>
  <si>
    <t>PROPERTY DAN REAL ESTATE PENJUALAN DAN PENYEWAAN</t>
  </si>
  <si>
    <t>https://fasih-sm.bps.go.id/app/assignment/fd68e454-ba45-4b85-8205-f3bf777ded24/d379cfd7-5fda-4e03-aa54-9878bce51ceb</t>
  </si>
  <si>
    <t xml:space="preserve">Mengenai pendapatan minus memang kita sedang ada proyek penanggulangan banjir jadi pengeluarannya lebih besar daripada pendapatan </t>
  </si>
  <si>
    <t>TAMANSARI CYBER RESIDENCE</t>
  </si>
  <si>
    <t>PENGEMBANGAN DAN PENGELOLAAN REAL ESTATE</t>
  </si>
  <si>
    <t>https://fasih-sm.bps.go.id/app/assignment/fd68e454-ba45-4b85-8205-f3bf777ded24/f257344a-1a75-40e3-88c8-4e89f47c4898</t>
  </si>
  <si>
    <t xml:space="preserve">OLYMPIQ FURNITURE GEMILANG </t>
  </si>
  <si>
    <t xml:space="preserve">pembelian penjualan bangunan hunian / non hunian </t>
  </si>
  <si>
    <t>https://fasih-sm.bps.go.id/app/assignment/fd68e454-ba45-4b85-8205-f3bf777ded24/4c9fc507-d711-4b0e-8ffe-0a5e6a2ac8c5</t>
  </si>
  <si>
    <t>3201</t>
  </si>
  <si>
    <t>68292</t>
  </si>
  <si>
    <t>MARKETING GALERI</t>
  </si>
  <si>
    <t>Melakukan kegiatan pemasaran dan penjualan unit rumah/perumahan kepada calon konsumen, termasuk memberikan informasi mengenai spesifikasi, harga, fasilitas, serta membantu proses pemesanan dan transaksi</t>
  </si>
  <si>
    <t>https://fasih-sm.bps.go.id/app/assignment/fd68e454-ba45-4b85-8205-f3bf777ded24/b60a88f3-5c5e-42dc-8945-d2cbd176091a</t>
  </si>
  <si>
    <t>DITEMUKAN</t>
  </si>
  <si>
    <t>2015</t>
  </si>
  <si>
    <t>MAHKOTA PERMATA PEDANA PT</t>
  </si>
  <si>
    <t>Real estat yang dimiliki sendiri atau disewa</t>
  </si>
  <si>
    <t>https://fasih-sm.bps.go.id/app/assignment/fd68e454-ba45-4b85-8205-f3bf777ded24/82aebbbc-7d2e-43e7-966f-b0171c303b3e</t>
  </si>
  <si>
    <t>SUDAH SESUAI DENGAN YG DI ISI DI DROP DOKUMEN</t>
  </si>
  <si>
    <t>SUMMARECON PT</t>
  </si>
  <si>
    <t>PENGEMBANGAN REAL ESTATE</t>
  </si>
  <si>
    <t>https://fasih-sm.bps.go.id/app/assignment/fd68e454-ba45-4b85-8205-f3bf777ded24/1d155a37-48a0-4d6e-ad3a-c7807efd68a5</t>
  </si>
  <si>
    <t>Revisit</t>
  </si>
  <si>
    <t>99999</t>
  </si>
  <si>
    <t>POS PROPERTI INDONESIA, PT</t>
  </si>
  <si>
    <t>REAL ESTAT / PROPERTY MANAGEMENT</t>
  </si>
  <si>
    <t>https://fasih-sm.bps.go.id/app/assignment/fd68e454-ba45-4b85-8205-f3bf777ded24/795b158e-6c00-4aab-bc71-830d0708f5af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</si>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</sst>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 * #,##0_ ;_ * \-#,##0_ ;_ * &quot;-&quot;??_ ;_ @_ "/>
    <numFmt numFmtId="166" formatCode="_ * #,##0.000000_ ;_ * \-#,##0.000000_ ;_ * &quot;-&quot;??_ ;_ @_ "/>
    <numFmt numFmtId="167" formatCode="_-* #,##0_-;\-* #,##0_-;_-* &quot;-&quot;??_-;_-@_-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0" fillId="0" borderId="2" xfId="0" applyBorder="1"/>
    <xf numFmtId="165" fontId="0" fillId="0" borderId="2" xfId="1" applyNumberFormat="1" applyFont="1" applyBorder="1" applyAlignment="1"/>
    <xf numFmtId="0" fontId="2" fillId="0" borderId="2" xfId="2" applyBorder="1" applyAlignment="1" applyProtection="1"/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5" fillId="5" borderId="3" xfId="0" applyFont="1" applyFill="1" applyBorder="1"/>
    <xf numFmtId="165" fontId="5" fillId="0" borderId="3" xfId="0" applyNumberFormat="1" applyFont="1" applyBorder="1"/>
    <xf numFmtId="0" fontId="5" fillId="2" borderId="3" xfId="0" applyFont="1" applyFill="1" applyBorder="1"/>
    <xf numFmtId="165" fontId="5" fillId="8" borderId="3" xfId="0" applyNumberFormat="1" applyFont="1" applyFill="1" applyBorder="1"/>
    <xf numFmtId="166" fontId="5" fillId="0" borderId="3" xfId="0" applyNumberFormat="1" applyFont="1" applyBorder="1"/>
    <xf numFmtId="0" fontId="5" fillId="0" borderId="3" xfId="0" applyFont="1" applyBorder="1"/>
    <xf numFmtId="167" fontId="0" fillId="0" borderId="2" xfId="0" applyNumberFormat="1" applyBorder="1"/>
    <xf numFmtId="0" fontId="0" fillId="0" borderId="2" xfId="0" applyBorder="1" applyAlignment="1">
      <alignment horizontal="center"/>
    </xf>
    <xf numFmtId="165" fontId="5" fillId="2" borderId="3" xfId="0" applyNumberFormat="1" applyFont="1" applyFill="1" applyBorder="1"/>
    <xf numFmtId="0" fontId="1" fillId="9" borderId="0" xfId="0" applyFont="1" applyFill="1" applyAlignment="1">
      <alignment horizontal="center" vertical="top" wrapText="1"/>
    </xf>
  </cellXfs>
  <cellStyles count="3">
    <cellStyle name="Comma" xfId="1" builtinId="3"/>
    <cellStyle name="Hyperlink" xfId="2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sih-sm.bps.go.id/app/assignment/fd68e454-ba45-4b85-8205-f3bf777ded24/497c2917-b379-4b55-969d-77417246294d" TargetMode="External"/><Relationship Id="rId13" Type="http://schemas.openxmlformats.org/officeDocument/2006/relationships/hyperlink" Target="https://fasih-sm.bps.go.id/app/assignment/fd68e454-ba45-4b85-8205-f3bf777ded24/4c9fc507-d711-4b0e-8ffe-0a5e6a2ac8c5" TargetMode="External"/><Relationship Id="rId3" Type="http://schemas.openxmlformats.org/officeDocument/2006/relationships/hyperlink" Target="https://fasih-sm.bps.go.id/app/assignment/fd68e454-ba45-4b85-8205-f3bf777ded24/50e352a8-7a76-460a-a98d-2d88a4b741d2" TargetMode="External"/><Relationship Id="rId7" Type="http://schemas.openxmlformats.org/officeDocument/2006/relationships/hyperlink" Target="https://fasih-sm.bps.go.id/app/assignment/fd68e454-ba45-4b85-8205-f3bf777ded24/69f5370d-cf07-4939-b044-0dd61f229b71" TargetMode="External"/><Relationship Id="rId12" Type="http://schemas.openxmlformats.org/officeDocument/2006/relationships/hyperlink" Target="https://fasih-sm.bps.go.id/app/assignment/fd68e454-ba45-4b85-8205-f3bf777ded24/f257344a-1a75-40e3-88c8-4e89f47c4898" TargetMode="External"/><Relationship Id="rId17" Type="http://schemas.openxmlformats.org/officeDocument/2006/relationships/hyperlink" Target="https://fasih-sm.bps.go.id/app/assignment/fd68e454-ba45-4b85-8205-f3bf777ded24/795b158e-6c00-4aab-bc71-830d0708f5af" TargetMode="External"/><Relationship Id="rId2" Type="http://schemas.openxmlformats.org/officeDocument/2006/relationships/hyperlink" Target="https://fasih-sm.bps.go.id/app/assignment/fd68e454-ba45-4b85-8205-f3bf777ded24/dfa17381-9baa-423b-b22f-9105549d72a2" TargetMode="External"/><Relationship Id="rId16" Type="http://schemas.openxmlformats.org/officeDocument/2006/relationships/hyperlink" Target="https://fasih-sm.bps.go.id/app/assignment/fd68e454-ba45-4b85-8205-f3bf777ded24/1d155a37-48a0-4d6e-ad3a-c7807efd68a5" TargetMode="External"/><Relationship Id="rId1" Type="http://schemas.openxmlformats.org/officeDocument/2006/relationships/hyperlink" Target="https://fasih-sm.bps.go.id/app/assignment/fd68e454-ba45-4b85-8205-f3bf777ded24/7ef124fa-1de5-4df3-bd76-b7ae417196f6" TargetMode="External"/><Relationship Id="rId6" Type="http://schemas.openxmlformats.org/officeDocument/2006/relationships/hyperlink" Target="https://fasih-sm.bps.go.id/app/assignment/fd68e454-ba45-4b85-8205-f3bf777ded24/e2d9b314-6928-4883-b7d9-5f439a10561e" TargetMode="External"/><Relationship Id="rId11" Type="http://schemas.openxmlformats.org/officeDocument/2006/relationships/hyperlink" Target="https://fasih-sm.bps.go.id/app/assignment/fd68e454-ba45-4b85-8205-f3bf777ded24/d379cfd7-5fda-4e03-aa54-9878bce51ceb" TargetMode="External"/><Relationship Id="rId5" Type="http://schemas.openxmlformats.org/officeDocument/2006/relationships/hyperlink" Target="https://fasih-sm.bps.go.id/app/assignment/fd68e454-ba45-4b85-8205-f3bf777ded24/4f1b055b-6c8f-493d-a5cb-2f6f011f6952" TargetMode="External"/><Relationship Id="rId15" Type="http://schemas.openxmlformats.org/officeDocument/2006/relationships/hyperlink" Target="https://fasih-sm.bps.go.id/app/assignment/fd68e454-ba45-4b85-8205-f3bf777ded24/82aebbbc-7d2e-43e7-966f-b0171c303b3e" TargetMode="External"/><Relationship Id="rId10" Type="http://schemas.openxmlformats.org/officeDocument/2006/relationships/hyperlink" Target="https://fasih-sm.bps.go.id/app/assignment/fd68e454-ba45-4b85-8205-f3bf777ded24/c5971546-d2f0-4b7b-91ec-2fe85f60e499" TargetMode="External"/><Relationship Id="rId4" Type="http://schemas.openxmlformats.org/officeDocument/2006/relationships/hyperlink" Target="https://fasih-sm.bps.go.id/app/assignment/fd68e454-ba45-4b85-8205-f3bf777ded24/5a0c2898-0d95-4ce9-8e92-58d28bae8d01" TargetMode="External"/><Relationship Id="rId9" Type="http://schemas.openxmlformats.org/officeDocument/2006/relationships/hyperlink" Target="https://fasih-sm.bps.go.id/app/assignment/fd68e454-ba45-4b85-8205-f3bf777ded24/1a177ec2-4d63-43bb-973b-3bf5c389c580" TargetMode="External"/><Relationship Id="rId14" Type="http://schemas.openxmlformats.org/officeDocument/2006/relationships/hyperlink" Target="https://fasih-sm.bps.go.id/app/assignment/fd68e454-ba45-4b85-8205-f3bf777ded24/b60a88f3-5c5e-42dc-8945-d2cbd17609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"/>
  <sheetViews>
    <sheetView tabSelected="1" topLeftCell="BJ1" workbookViewId="0">
      <selection activeCell="BJ4" sqref="BJ4"/>
    </sheetView>
  </sheetViews>
  <sheetFormatPr defaultColWidth="9" defaultRowHeight="13.5" customHeight="1"/>
  <cols>
    <col min="6" max="6" width="171.375" bestFit="1" customWidth="1"/>
    <col min="8" max="10" width="22.25"/>
    <col min="11" max="11" width="23.5"/>
    <col min="12" max="12" width="21.125"/>
    <col min="13" max="14" width="23.5"/>
    <col min="15" max="15" width="21.125"/>
    <col min="16" max="16" width="23.5"/>
    <col min="17" max="17" width="25"/>
    <col min="18" max="18" width="23.5"/>
    <col min="21" max="21" width="11.75"/>
    <col min="22" max="22" width="14.125"/>
    <col min="27" max="27" width="11.25" bestFit="1" customWidth="1"/>
    <col min="29" max="29" width="10.25" bestFit="1" customWidth="1"/>
    <col min="30" max="30" width="11.25" bestFit="1" customWidth="1"/>
    <col min="31" max="31" width="13.75" bestFit="1" customWidth="1"/>
    <col min="32" max="32" width="3.5" bestFit="1" customWidth="1"/>
    <col min="33" max="33" width="19.75" bestFit="1" customWidth="1"/>
    <col min="37" max="37" width="14.75" bestFit="1" customWidth="1"/>
    <col min="38" max="38" width="15.375" bestFit="1" customWidth="1"/>
    <col min="39" max="39" width="16.75" customWidth="1"/>
    <col min="40" max="40" width="11.25" bestFit="1" customWidth="1"/>
    <col min="41" max="41" width="3.5" bestFit="1" customWidth="1"/>
    <col min="42" max="42" width="11.25" bestFit="1" customWidth="1"/>
    <col min="43" max="44" width="13.75" bestFit="1" customWidth="1"/>
    <col min="45" max="45" width="16" customWidth="1"/>
    <col min="46" max="46" width="13.75" bestFit="1" customWidth="1"/>
    <col min="48" max="48" width="13.75" bestFit="1" customWidth="1"/>
    <col min="49" max="49" width="16" customWidth="1"/>
    <col min="50" max="51" width="13.75" bestFit="1" customWidth="1"/>
    <col min="52" max="52" width="11.375" bestFit="1" customWidth="1"/>
    <col min="56" max="56" width="16.125" customWidth="1"/>
    <col min="59" max="59" width="14.25" customWidth="1"/>
    <col min="60" max="60" width="14.75" bestFit="1" customWidth="1"/>
    <col min="62" max="62" width="15.375" bestFit="1" customWidth="1"/>
    <col min="64" max="64" width="14.75" bestFit="1" customWidth="1"/>
    <col min="73" max="73" width="10.75" customWidth="1"/>
    <col min="74" max="74" width="11.625" customWidth="1"/>
  </cols>
  <sheetData>
    <row r="1" spans="1:74" s="1" customFormat="1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1"/>
      <c r="AA1" s="12" t="s">
        <v>25</v>
      </c>
      <c r="AB1" s="12"/>
      <c r="AC1" s="13" t="s">
        <v>26</v>
      </c>
      <c r="AD1" s="14" t="s">
        <v>27</v>
      </c>
      <c r="AE1" s="12" t="s">
        <v>8</v>
      </c>
      <c r="AF1" s="13" t="s">
        <v>26</v>
      </c>
      <c r="AG1" s="14" t="s">
        <v>28</v>
      </c>
      <c r="AH1" s="12" t="s">
        <v>29</v>
      </c>
      <c r="AI1" s="13" t="s">
        <v>26</v>
      </c>
      <c r="AJ1" s="14" t="s">
        <v>30</v>
      </c>
      <c r="AK1" s="12" t="s">
        <v>10</v>
      </c>
      <c r="AL1" s="13" t="s">
        <v>26</v>
      </c>
      <c r="AM1" s="14" t="s">
        <v>31</v>
      </c>
      <c r="AN1" s="12" t="s">
        <v>32</v>
      </c>
      <c r="AO1" s="13" t="s">
        <v>26</v>
      </c>
      <c r="AP1" s="14" t="s">
        <v>33</v>
      </c>
      <c r="AQ1" s="12" t="s">
        <v>34</v>
      </c>
      <c r="AR1" s="13" t="s">
        <v>26</v>
      </c>
      <c r="AS1" s="14" t="s">
        <v>35</v>
      </c>
      <c r="AT1" s="12" t="s">
        <v>36</v>
      </c>
      <c r="AU1" s="13" t="s">
        <v>26</v>
      </c>
      <c r="AV1" s="14" t="s">
        <v>37</v>
      </c>
      <c r="AW1" s="15" t="s">
        <v>38</v>
      </c>
      <c r="AX1" s="15" t="s">
        <v>39</v>
      </c>
      <c r="AY1" s="15" t="s">
        <v>40</v>
      </c>
      <c r="AZ1" s="15" t="s">
        <v>41</v>
      </c>
      <c r="BA1" s="25" t="s">
        <v>42</v>
      </c>
      <c r="BB1" s="12" t="s">
        <v>43</v>
      </c>
      <c r="BC1" s="12" t="s">
        <v>44</v>
      </c>
      <c r="BD1" s="12" t="s">
        <v>45</v>
      </c>
      <c r="BE1" s="11"/>
      <c r="BF1" s="7" t="s">
        <v>46</v>
      </c>
      <c r="BG1" s="8" t="s">
        <v>47</v>
      </c>
      <c r="BH1" s="8" t="s">
        <v>48</v>
      </c>
      <c r="BI1" s="8" t="s">
        <v>49</v>
      </c>
      <c r="BJ1" s="8" t="s">
        <v>50</v>
      </c>
      <c r="BK1" s="8" t="s">
        <v>51</v>
      </c>
      <c r="BL1" s="8" t="s">
        <v>52</v>
      </c>
      <c r="BM1" s="8" t="s">
        <v>53</v>
      </c>
      <c r="BN1" s="9" t="s">
        <v>54</v>
      </c>
      <c r="BO1" s="9" t="s">
        <v>55</v>
      </c>
      <c r="BP1" s="9" t="s">
        <v>56</v>
      </c>
      <c r="BQ1" s="9" t="s">
        <v>57</v>
      </c>
      <c r="BR1" s="9" t="s">
        <v>58</v>
      </c>
      <c r="BS1" s="9" t="s">
        <v>59</v>
      </c>
      <c r="BT1" s="9" t="s">
        <v>60</v>
      </c>
      <c r="BU1" s="3" t="s">
        <v>61</v>
      </c>
      <c r="BV1" s="3" t="s">
        <v>62</v>
      </c>
    </row>
    <row r="2" spans="1:74" ht="1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>
        <v>14</v>
      </c>
      <c r="H2" s="5">
        <v>2712835000</v>
      </c>
      <c r="I2" s="5">
        <v>51240395000</v>
      </c>
      <c r="J2" s="5">
        <v>0</v>
      </c>
      <c r="K2" s="5">
        <v>4712369000</v>
      </c>
      <c r="L2" s="5">
        <v>387812000</v>
      </c>
      <c r="M2" s="5">
        <v>59053411000</v>
      </c>
      <c r="N2" s="5">
        <v>69299400000</v>
      </c>
      <c r="O2" s="5">
        <v>18369000100</v>
      </c>
      <c r="P2" s="5">
        <v>13346636000</v>
      </c>
      <c r="Q2" s="5">
        <v>20599999999</v>
      </c>
      <c r="R2" s="5">
        <v>69299400000</v>
      </c>
      <c r="S2" s="4" t="s">
        <v>69</v>
      </c>
      <c r="T2" s="4"/>
      <c r="U2" s="4">
        <v>0.19259399999999999</v>
      </c>
      <c r="V2" s="4">
        <v>4949957142.8571396</v>
      </c>
      <c r="W2" s="4">
        <v>1</v>
      </c>
      <c r="X2" s="6" t="s">
        <v>70</v>
      </c>
      <c r="Y2" s="4" t="s">
        <v>71</v>
      </c>
      <c r="Z2" s="16"/>
      <c r="AA2" s="17">
        <f>(H2/12)/G2</f>
        <v>16147827.380952382</v>
      </c>
      <c r="AB2" s="17" t="str">
        <f>IF(OR(AA2&lt;2317601,AA2&gt;(5*2317601)),"perbaiki","ok")</f>
        <v>perbaiki</v>
      </c>
      <c r="AC2" s="24">
        <f>2317601-AA2</f>
        <v>-13830226.380952382</v>
      </c>
      <c r="AD2" s="19">
        <f>(AA2+AC2)</f>
        <v>2317601</v>
      </c>
      <c r="AE2" s="17">
        <f>I2</f>
        <v>51240395000</v>
      </c>
      <c r="AF2" s="18"/>
      <c r="AG2" s="19">
        <f>AF2+AE2</f>
        <v>51240395000</v>
      </c>
      <c r="AH2" s="17">
        <f>J2</f>
        <v>0</v>
      </c>
      <c r="AI2" s="18"/>
      <c r="AJ2" s="19">
        <f>AI2+AH2</f>
        <v>0</v>
      </c>
      <c r="AK2" s="17">
        <f>K2</f>
        <v>4712369000</v>
      </c>
      <c r="AL2" s="18"/>
      <c r="AM2" s="19">
        <f>AL2+AK2</f>
        <v>4712369000</v>
      </c>
      <c r="AN2" s="17">
        <f>L2</f>
        <v>387812000</v>
      </c>
      <c r="AO2" s="18"/>
      <c r="AP2" s="19">
        <f>AO2+AN2</f>
        <v>387812000</v>
      </c>
      <c r="AQ2" s="17">
        <f>N2</f>
        <v>69299400000</v>
      </c>
      <c r="AR2" s="24">
        <f>2*AT2</f>
        <v>36738000200</v>
      </c>
      <c r="AS2" s="19">
        <f>AR2+AQ2</f>
        <v>106037400200</v>
      </c>
      <c r="AT2" s="17">
        <f>O2</f>
        <v>18369000100</v>
      </c>
      <c r="AU2" s="18"/>
      <c r="AV2" s="19">
        <f>AU2+AT2</f>
        <v>18369000100</v>
      </c>
      <c r="AW2" s="17">
        <f>AS2-AJ2</f>
        <v>106037400200</v>
      </c>
      <c r="AX2" s="17">
        <f>AG2+AM2</f>
        <v>55952764000</v>
      </c>
      <c r="AY2" s="17">
        <f>AW2-AX2</f>
        <v>50084636200</v>
      </c>
      <c r="AZ2" s="20">
        <f>AY2/AW2</f>
        <v>0.47232991478038899</v>
      </c>
      <c r="BA2" s="20" t="str">
        <f>IF(AND(VALUE(AZ2)&gt;=(BB2-0.03), VALUE(AZ2)&lt;=(BC2+0.03)), "dalam range", "luar range")</f>
        <v>dalam range</v>
      </c>
      <c r="BB2" s="21">
        <v>0.5</v>
      </c>
      <c r="BC2" s="21">
        <v>0.99</v>
      </c>
      <c r="BD2" s="21" t="str">
        <f>IF(AND(VALUE(U2)&gt;=(BB2-0.03), VALUE(U2)&lt;=(BC2+0.03)), "#0", "Adjustment")</f>
        <v>Adjustment</v>
      </c>
      <c r="BE2" s="16"/>
      <c r="BF2" s="4"/>
      <c r="BG2" s="22">
        <f t="shared" ref="BG2:BG18" si="0">IF(AC2="","",IF(D2="2026",((AD2*G2)),AD2*G2*12))</f>
        <v>389356968</v>
      </c>
      <c r="BH2" s="22" t="str">
        <f>IF(AF2="","",IF(D2="2026",(AG2/12),AG2))</f>
        <v/>
      </c>
      <c r="BI2" s="22" t="str">
        <f>IF(AI2="","",IF(D2="2026",(AJ2/12),AJ2))</f>
        <v/>
      </c>
      <c r="BJ2" s="22" t="str">
        <f>IF(AL2="","",IF(D2="2026",(AM2/12),AM2))</f>
        <v/>
      </c>
      <c r="BK2" s="22" t="str">
        <f>IF(AO2="","",IF(D2="2026",(AP2/12),AP2))</f>
        <v/>
      </c>
      <c r="BL2" s="22">
        <f>IF(AR2="","",IF(D2="2026",(AS2/12),AS2))</f>
        <v>106037400200</v>
      </c>
      <c r="BM2" s="22" t="str">
        <f>IF(AU2="","",IF(D2="2026",(AV2/12),AV2))</f>
        <v/>
      </c>
      <c r="BN2" s="23" t="str">
        <f>IF(BG2="","#0","#3")</f>
        <v>#3</v>
      </c>
      <c r="BO2" s="23" t="str">
        <f>IF(BH2="","#0","#3")</f>
        <v>#0</v>
      </c>
      <c r="BP2" s="23" t="str">
        <f>IF(BI2="","#0","#3")</f>
        <v>#0</v>
      </c>
      <c r="BQ2" s="23" t="str">
        <f>IF(BJ2="","#0","#3")</f>
        <v>#0</v>
      </c>
      <c r="BR2" s="23" t="str">
        <f>IF(BK2="","#0","#3")</f>
        <v>#0</v>
      </c>
      <c r="BS2" s="23" t="str">
        <f>IF(BL2="","#0","#3")</f>
        <v>#3</v>
      </c>
      <c r="BT2" s="23" t="str">
        <f>IF(BM2="","#0","#3")</f>
        <v>#0</v>
      </c>
      <c r="BU2" s="10" t="b">
        <v>1</v>
      </c>
      <c r="BV2" s="10" t="b">
        <v>0</v>
      </c>
    </row>
    <row r="3" spans="1:74" ht="15">
      <c r="A3" s="4" t="s">
        <v>72</v>
      </c>
      <c r="B3" s="4" t="s">
        <v>64</v>
      </c>
      <c r="C3" s="4" t="s">
        <v>73</v>
      </c>
      <c r="D3" s="4" t="s">
        <v>74</v>
      </c>
      <c r="E3" s="4" t="s">
        <v>75</v>
      </c>
      <c r="F3" s="4" t="s">
        <v>76</v>
      </c>
      <c r="G3" s="4">
        <v>8</v>
      </c>
      <c r="H3" s="5">
        <v>1655493873</v>
      </c>
      <c r="I3" s="5">
        <v>131987578767</v>
      </c>
      <c r="J3" s="5">
        <v>0</v>
      </c>
      <c r="K3" s="5">
        <v>33586473285</v>
      </c>
      <c r="L3" s="5">
        <v>15499362</v>
      </c>
      <c r="M3" s="5">
        <v>182144490144</v>
      </c>
      <c r="N3" s="5">
        <v>213127103767</v>
      </c>
      <c r="O3" s="5">
        <v>4440000</v>
      </c>
      <c r="P3" s="5">
        <v>47553051715</v>
      </c>
      <c r="Q3" s="5">
        <v>1077260100</v>
      </c>
      <c r="R3" s="5">
        <v>213127103767</v>
      </c>
      <c r="S3" s="4" t="s">
        <v>69</v>
      </c>
      <c r="T3" s="4"/>
      <c r="U3" s="4">
        <v>0.22312100000000001</v>
      </c>
      <c r="V3" s="4">
        <v>26640887970.875</v>
      </c>
      <c r="W3" s="4">
        <v>1</v>
      </c>
      <c r="X3" s="6" t="s">
        <v>77</v>
      </c>
      <c r="Y3" s="4"/>
      <c r="Z3" s="16"/>
      <c r="AA3" s="17">
        <f t="shared" ref="AA3:AA18" si="1">(H3/12)/G3</f>
        <v>17244727.84375</v>
      </c>
      <c r="AB3" s="17" t="str">
        <f t="shared" ref="AB3:AB18" si="2">IF(OR(AA3&lt;2317601,AA3&gt;(5*2317601)),"perbaiki","ok")</f>
        <v>perbaiki</v>
      </c>
      <c r="AC3" s="24">
        <f>4846855-AA3</f>
        <v>-12397872.84375</v>
      </c>
      <c r="AD3" s="19">
        <f t="shared" ref="AD3:AD18" si="3">(AA3+AC3)</f>
        <v>4846855</v>
      </c>
      <c r="AE3" s="17">
        <f t="shared" ref="AE3:AE18" si="4">I3</f>
        <v>131987578767</v>
      </c>
      <c r="AF3" s="24">
        <f>(AE3/12)-AE3</f>
        <v>-120988613869.75</v>
      </c>
      <c r="AG3" s="19">
        <f t="shared" ref="AG3:AG18" si="5">AF3+AE3</f>
        <v>10998964897.25</v>
      </c>
      <c r="AH3" s="17">
        <f t="shared" ref="AH3:AH18" si="6">J3</f>
        <v>0</v>
      </c>
      <c r="AI3" s="18"/>
      <c r="AJ3" s="19">
        <f t="shared" ref="AJ3:AJ18" si="7">AI3+AH3</f>
        <v>0</v>
      </c>
      <c r="AK3" s="17">
        <f t="shared" ref="AK3:AK18" si="8">K3</f>
        <v>33586473285</v>
      </c>
      <c r="AL3" s="18"/>
      <c r="AM3" s="19">
        <f t="shared" ref="AM3:AM18" si="9">AL3+AK3</f>
        <v>33586473285</v>
      </c>
      <c r="AN3" s="17">
        <f t="shared" ref="AN3:AN18" si="10">L3</f>
        <v>15499362</v>
      </c>
      <c r="AO3" s="18"/>
      <c r="AP3" s="19">
        <f t="shared" ref="AP3:AP18" si="11">AO3+AN3</f>
        <v>15499362</v>
      </c>
      <c r="AQ3" s="17">
        <f t="shared" ref="AQ3:AQ18" si="12">N3</f>
        <v>213127103767</v>
      </c>
      <c r="AR3" s="24">
        <f>AT3*1000</f>
        <v>4440000000</v>
      </c>
      <c r="AS3" s="19">
        <f t="shared" ref="AS3:AS18" si="13">AR3+AQ3</f>
        <v>217567103767</v>
      </c>
      <c r="AT3" s="17">
        <f t="shared" ref="AT3:AT18" si="14">O3</f>
        <v>4440000</v>
      </c>
      <c r="AU3" s="18"/>
      <c r="AV3" s="19">
        <f t="shared" ref="AV3:AV18" si="15">AU3+AT3</f>
        <v>4440000</v>
      </c>
      <c r="AW3" s="17">
        <f t="shared" ref="AW3:AW18" si="16">AS3-AJ3</f>
        <v>217567103767</v>
      </c>
      <c r="AX3" s="17">
        <f t="shared" ref="AX3:AX18" si="17">AG3+AM3</f>
        <v>44585438182.25</v>
      </c>
      <c r="AY3" s="17">
        <f t="shared" ref="AY3:AY18" si="18">AW3-AX3</f>
        <v>172981665584.75</v>
      </c>
      <c r="AZ3" s="20">
        <f t="shared" ref="AZ3:AZ18" si="19">AY3/AW3</f>
        <v>0.79507270441951527</v>
      </c>
      <c r="BA3" s="20" t="str">
        <f t="shared" ref="BA3:BA18" si="20">IF(AND(VALUE(AZ3)&gt;=(BB3-0.03), VALUE(AZ3)&lt;=(BC3+0.03)), "dalam range", "luar range")</f>
        <v>dalam range</v>
      </c>
      <c r="BB3" s="21">
        <v>0.5</v>
      </c>
      <c r="BC3" s="21">
        <v>0.99</v>
      </c>
      <c r="BD3" s="21" t="str">
        <f t="shared" ref="BD3:BD18" si="21">IF(AND(VALUE(U3)&gt;=(BB3-0.03), VALUE(U3)&lt;=(BC3+0.03)), "#0", "Adjustment")</f>
        <v>Adjustment</v>
      </c>
      <c r="BE3" s="16"/>
      <c r="BF3" s="4"/>
      <c r="BG3" s="22">
        <f t="shared" si="0"/>
        <v>465298080</v>
      </c>
      <c r="BH3" s="22">
        <f t="shared" ref="BH3:BH18" si="22">IF(AF3="","",IF(D3="2026",(AG3/12),AG3))</f>
        <v>10998964897.25</v>
      </c>
      <c r="BI3" s="22" t="str">
        <f t="shared" ref="BI3:BI18" si="23">IF(AI3="","",IF(D3="2026",(AJ3/12),AJ3))</f>
        <v/>
      </c>
      <c r="BJ3" s="22" t="str">
        <f t="shared" ref="BJ3:BJ18" si="24">IF(AL3="","",IF(D3="2026",(AM3/12),AM3))</f>
        <v/>
      </c>
      <c r="BK3" s="22" t="str">
        <f t="shared" ref="BK3:BK18" si="25">IF(AO3="","",IF(D3="2026",(AP3/12),AP3))</f>
        <v/>
      </c>
      <c r="BL3" s="22">
        <f t="shared" ref="BL3:BL18" si="26">IF(AR3="","",IF(D3="2026",(AS3/12),AS3))</f>
        <v>217567103767</v>
      </c>
      <c r="BM3" s="22" t="str">
        <f t="shared" ref="BM3:BM18" si="27">IF(AU3="","",IF(D3="2026",(AV3/12),AV3))</f>
        <v/>
      </c>
      <c r="BN3" s="23" t="str">
        <f t="shared" ref="BN3:BN18" si="28">IF(BG3="","#0","#3")</f>
        <v>#3</v>
      </c>
      <c r="BO3" s="23" t="str">
        <f t="shared" ref="BO3:BO18" si="29">IF(BH3="","#0","#3")</f>
        <v>#3</v>
      </c>
      <c r="BP3" s="23" t="str">
        <f t="shared" ref="BP3:BP18" si="30">IF(BI3="","#0","#3")</f>
        <v>#0</v>
      </c>
      <c r="BQ3" s="23" t="str">
        <f t="shared" ref="BQ3:BQ18" si="31">IF(BJ3="","#0","#3")</f>
        <v>#0</v>
      </c>
      <c r="BR3" s="23" t="str">
        <f t="shared" ref="BR3:BR18" si="32">IF(BK3="","#0","#3")</f>
        <v>#0</v>
      </c>
      <c r="BS3" s="23" t="str">
        <f t="shared" ref="BS3:BS18" si="33">IF(BL3="","#0","#3")</f>
        <v>#3</v>
      </c>
      <c r="BT3" s="23" t="str">
        <f t="shared" ref="BT3:BT18" si="34">IF(BM3="","#0","#3")</f>
        <v>#0</v>
      </c>
      <c r="BU3" s="10" t="b">
        <v>1</v>
      </c>
      <c r="BV3" s="10" t="b">
        <v>0</v>
      </c>
    </row>
    <row r="4" spans="1:74" ht="15">
      <c r="A4" s="4" t="s">
        <v>78</v>
      </c>
      <c r="B4" s="4" t="s">
        <v>64</v>
      </c>
      <c r="C4" s="4" t="s">
        <v>79</v>
      </c>
      <c r="D4" s="4" t="s">
        <v>80</v>
      </c>
      <c r="E4" s="4" t="s">
        <v>81</v>
      </c>
      <c r="F4" s="4" t="s">
        <v>82</v>
      </c>
      <c r="G4" s="4">
        <v>24</v>
      </c>
      <c r="H4" s="5">
        <v>50000000</v>
      </c>
      <c r="I4" s="5">
        <v>167400000</v>
      </c>
      <c r="J4" s="5">
        <v>0</v>
      </c>
      <c r="K4" s="5">
        <v>50400000000</v>
      </c>
      <c r="L4" s="5">
        <v>2000000</v>
      </c>
      <c r="M4" s="5">
        <v>50619400000</v>
      </c>
      <c r="N4" s="5">
        <v>50979400000</v>
      </c>
      <c r="O4" s="5">
        <v>0</v>
      </c>
      <c r="P4" s="5">
        <v>412000000</v>
      </c>
      <c r="Q4" s="5">
        <v>23000000000</v>
      </c>
      <c r="R4" s="5">
        <v>50979400000</v>
      </c>
      <c r="S4" s="4" t="s">
        <v>69</v>
      </c>
      <c r="T4" s="4" t="s">
        <v>83</v>
      </c>
      <c r="U4" s="4">
        <v>8.0820000000000006E-3</v>
      </c>
      <c r="V4" s="4">
        <v>2124141666.6666601</v>
      </c>
      <c r="W4" s="4">
        <v>1</v>
      </c>
      <c r="X4" s="6" t="s">
        <v>84</v>
      </c>
      <c r="Y4" s="4"/>
      <c r="Z4" s="16"/>
      <c r="AA4" s="17">
        <f t="shared" si="1"/>
        <v>173611.11111111109</v>
      </c>
      <c r="AB4" s="17" t="str">
        <f t="shared" si="2"/>
        <v>perbaiki</v>
      </c>
      <c r="AC4" s="18">
        <v>4000000</v>
      </c>
      <c r="AD4" s="19">
        <f t="shared" si="3"/>
        <v>4173611.111111111</v>
      </c>
      <c r="AE4" s="17">
        <f t="shared" si="4"/>
        <v>167400000</v>
      </c>
      <c r="AF4" s="18"/>
      <c r="AG4" s="19">
        <f t="shared" si="5"/>
        <v>167400000</v>
      </c>
      <c r="AH4" s="17">
        <f t="shared" si="6"/>
        <v>0</v>
      </c>
      <c r="AI4" s="18"/>
      <c r="AJ4" s="19">
        <f t="shared" si="7"/>
        <v>0</v>
      </c>
      <c r="AK4" s="17">
        <f t="shared" si="8"/>
        <v>50400000000</v>
      </c>
      <c r="AL4" s="24">
        <f>50400000-AK4</f>
        <v>-50349600000</v>
      </c>
      <c r="AM4" s="19">
        <f t="shared" si="9"/>
        <v>50400000</v>
      </c>
      <c r="AN4" s="17">
        <f t="shared" si="10"/>
        <v>2000000</v>
      </c>
      <c r="AO4" s="18"/>
      <c r="AP4" s="19">
        <f t="shared" si="11"/>
        <v>2000000</v>
      </c>
      <c r="AQ4" s="17">
        <f t="shared" si="12"/>
        <v>50979400000</v>
      </c>
      <c r="AR4" s="18"/>
      <c r="AS4" s="19">
        <f t="shared" si="13"/>
        <v>50979400000</v>
      </c>
      <c r="AT4" s="17">
        <f t="shared" si="14"/>
        <v>0</v>
      </c>
      <c r="AU4" s="18"/>
      <c r="AV4" s="19">
        <f t="shared" si="15"/>
        <v>0</v>
      </c>
      <c r="AW4" s="17">
        <f t="shared" si="16"/>
        <v>50979400000</v>
      </c>
      <c r="AX4" s="17">
        <f t="shared" si="17"/>
        <v>217800000</v>
      </c>
      <c r="AY4" s="17">
        <f t="shared" si="18"/>
        <v>50761600000</v>
      </c>
      <c r="AZ4" s="20">
        <f t="shared" si="19"/>
        <v>0.99572768608496764</v>
      </c>
      <c r="BA4" s="20" t="str">
        <f t="shared" si="20"/>
        <v>dalam range</v>
      </c>
      <c r="BB4" s="21">
        <v>0.5</v>
      </c>
      <c r="BC4" s="21">
        <v>0.99</v>
      </c>
      <c r="BD4" s="21" t="str">
        <f t="shared" si="21"/>
        <v>Adjustment</v>
      </c>
      <c r="BE4" s="16"/>
      <c r="BF4" s="4"/>
      <c r="BG4" s="22">
        <f t="shared" si="0"/>
        <v>1202000000</v>
      </c>
      <c r="BH4" s="22" t="str">
        <f t="shared" si="22"/>
        <v/>
      </c>
      <c r="BI4" s="22" t="str">
        <f t="shared" si="23"/>
        <v/>
      </c>
      <c r="BJ4" s="22">
        <f t="shared" si="24"/>
        <v>50400000</v>
      </c>
      <c r="BK4" s="22" t="str">
        <f t="shared" si="25"/>
        <v/>
      </c>
      <c r="BL4" s="22" t="str">
        <f t="shared" si="26"/>
        <v/>
      </c>
      <c r="BM4" s="22" t="str">
        <f t="shared" si="27"/>
        <v/>
      </c>
      <c r="BN4" s="23" t="str">
        <f t="shared" si="28"/>
        <v>#3</v>
      </c>
      <c r="BO4" s="23" t="str">
        <f t="shared" si="29"/>
        <v>#0</v>
      </c>
      <c r="BP4" s="23" t="str">
        <f t="shared" si="30"/>
        <v>#0</v>
      </c>
      <c r="BQ4" s="23" t="str">
        <f t="shared" si="31"/>
        <v>#3</v>
      </c>
      <c r="BR4" s="23" t="str">
        <f t="shared" si="32"/>
        <v>#0</v>
      </c>
      <c r="BS4" s="23" t="str">
        <f t="shared" si="33"/>
        <v>#0</v>
      </c>
      <c r="BT4" s="23" t="str">
        <f t="shared" si="34"/>
        <v>#0</v>
      </c>
      <c r="BU4" s="10" t="b">
        <v>1</v>
      </c>
      <c r="BV4" s="10" t="b">
        <v>0</v>
      </c>
    </row>
    <row r="5" spans="1:74" ht="15">
      <c r="A5" s="4" t="s">
        <v>63</v>
      </c>
      <c r="B5" s="4" t="s">
        <v>64</v>
      </c>
      <c r="C5" s="4" t="s">
        <v>65</v>
      </c>
      <c r="D5" s="4" t="s">
        <v>74</v>
      </c>
      <c r="E5" s="4" t="s">
        <v>85</v>
      </c>
      <c r="F5" s="4" t="s">
        <v>86</v>
      </c>
      <c r="G5" s="4">
        <v>74</v>
      </c>
      <c r="H5" s="5">
        <v>11200000000</v>
      </c>
      <c r="I5" s="5">
        <v>154000000000</v>
      </c>
      <c r="J5" s="5">
        <v>0</v>
      </c>
      <c r="K5" s="5">
        <v>100000000</v>
      </c>
      <c r="L5" s="5">
        <v>0</v>
      </c>
      <c r="M5" s="5">
        <v>165300000000</v>
      </c>
      <c r="N5" s="5">
        <v>250000000000</v>
      </c>
      <c r="O5" s="5">
        <v>0</v>
      </c>
      <c r="P5" s="5">
        <v>95900000000</v>
      </c>
      <c r="Q5" s="5">
        <v>40000000000</v>
      </c>
      <c r="R5" s="5">
        <v>250000000000</v>
      </c>
      <c r="S5" s="4" t="s">
        <v>69</v>
      </c>
      <c r="T5" s="4"/>
      <c r="U5" s="4">
        <v>0.3836</v>
      </c>
      <c r="V5" s="4">
        <v>3378378378.3783698</v>
      </c>
      <c r="W5" s="4">
        <v>1</v>
      </c>
      <c r="X5" s="6" t="s">
        <v>87</v>
      </c>
      <c r="Y5" s="4" t="s">
        <v>88</v>
      </c>
      <c r="Z5" s="16"/>
      <c r="AA5" s="17">
        <f t="shared" si="1"/>
        <v>12612612.612612613</v>
      </c>
      <c r="AB5" s="17" t="str">
        <f t="shared" si="2"/>
        <v>perbaiki</v>
      </c>
      <c r="AC5" s="18">
        <v>-8000000</v>
      </c>
      <c r="AD5" s="19">
        <f t="shared" si="3"/>
        <v>4612612.6126126125</v>
      </c>
      <c r="AE5" s="17">
        <f t="shared" si="4"/>
        <v>154000000000</v>
      </c>
      <c r="AF5" s="24">
        <f>154000000-AE5</f>
        <v>-153846000000</v>
      </c>
      <c r="AG5" s="19">
        <f t="shared" si="5"/>
        <v>154000000</v>
      </c>
      <c r="AH5" s="17">
        <f t="shared" si="6"/>
        <v>0</v>
      </c>
      <c r="AI5" s="18"/>
      <c r="AJ5" s="19">
        <f t="shared" si="7"/>
        <v>0</v>
      </c>
      <c r="AK5" s="17">
        <f t="shared" si="8"/>
        <v>100000000</v>
      </c>
      <c r="AL5" s="18"/>
      <c r="AM5" s="19">
        <f t="shared" si="9"/>
        <v>100000000</v>
      </c>
      <c r="AN5" s="17">
        <f t="shared" si="10"/>
        <v>0</v>
      </c>
      <c r="AO5" s="18"/>
      <c r="AP5" s="19">
        <f t="shared" si="11"/>
        <v>0</v>
      </c>
      <c r="AQ5" s="17">
        <f t="shared" si="12"/>
        <v>250000000000</v>
      </c>
      <c r="AR5" s="18"/>
      <c r="AS5" s="19">
        <f t="shared" si="13"/>
        <v>250000000000</v>
      </c>
      <c r="AT5" s="17">
        <f t="shared" si="14"/>
        <v>0</v>
      </c>
      <c r="AU5" s="18"/>
      <c r="AV5" s="19">
        <f t="shared" si="15"/>
        <v>0</v>
      </c>
      <c r="AW5" s="17">
        <f t="shared" si="16"/>
        <v>250000000000</v>
      </c>
      <c r="AX5" s="17">
        <f t="shared" si="17"/>
        <v>254000000</v>
      </c>
      <c r="AY5" s="17">
        <f t="shared" si="18"/>
        <v>249746000000</v>
      </c>
      <c r="AZ5" s="20">
        <f t="shared" si="19"/>
        <v>0.99898399999999998</v>
      </c>
      <c r="BA5" s="20" t="str">
        <f t="shared" si="20"/>
        <v>dalam range</v>
      </c>
      <c r="BB5" s="21">
        <v>0.5</v>
      </c>
      <c r="BC5" s="21">
        <v>0.99</v>
      </c>
      <c r="BD5" s="21" t="str">
        <f t="shared" si="21"/>
        <v>Adjustment</v>
      </c>
      <c r="BE5" s="16"/>
      <c r="BF5" s="4"/>
      <c r="BG5" s="22">
        <f t="shared" si="0"/>
        <v>4096000000</v>
      </c>
      <c r="BH5" s="22">
        <f t="shared" si="22"/>
        <v>154000000</v>
      </c>
      <c r="BI5" s="22" t="str">
        <f t="shared" si="23"/>
        <v/>
      </c>
      <c r="BJ5" s="22" t="str">
        <f t="shared" si="24"/>
        <v/>
      </c>
      <c r="BK5" s="22" t="str">
        <f t="shared" si="25"/>
        <v/>
      </c>
      <c r="BL5" s="22" t="str">
        <f t="shared" si="26"/>
        <v/>
      </c>
      <c r="BM5" s="22" t="str">
        <f t="shared" si="27"/>
        <v/>
      </c>
      <c r="BN5" s="23" t="str">
        <f t="shared" si="28"/>
        <v>#3</v>
      </c>
      <c r="BO5" s="23" t="str">
        <f t="shared" si="29"/>
        <v>#3</v>
      </c>
      <c r="BP5" s="23" t="str">
        <f t="shared" si="30"/>
        <v>#0</v>
      </c>
      <c r="BQ5" s="23" t="str">
        <f t="shared" si="31"/>
        <v>#0</v>
      </c>
      <c r="BR5" s="23" t="str">
        <f t="shared" si="32"/>
        <v>#0</v>
      </c>
      <c r="BS5" s="23" t="str">
        <f t="shared" si="33"/>
        <v>#0</v>
      </c>
      <c r="BT5" s="23" t="str">
        <f t="shared" si="34"/>
        <v>#0</v>
      </c>
      <c r="BU5" s="10" t="b">
        <v>1</v>
      </c>
      <c r="BV5" s="10" t="b">
        <v>0</v>
      </c>
    </row>
    <row r="6" spans="1:74" ht="15">
      <c r="A6" s="4" t="s">
        <v>63</v>
      </c>
      <c r="B6" s="4" t="s">
        <v>64</v>
      </c>
      <c r="C6" s="4" t="s">
        <v>65</v>
      </c>
      <c r="D6" s="4" t="s">
        <v>89</v>
      </c>
      <c r="E6" s="4" t="s">
        <v>90</v>
      </c>
      <c r="F6" s="4" t="s">
        <v>91</v>
      </c>
      <c r="G6" s="4">
        <v>1</v>
      </c>
      <c r="H6" s="5">
        <v>0</v>
      </c>
      <c r="I6" s="5">
        <v>110000000</v>
      </c>
      <c r="J6" s="5">
        <v>0</v>
      </c>
      <c r="K6" s="5">
        <v>2000000</v>
      </c>
      <c r="L6" s="5">
        <v>0</v>
      </c>
      <c r="M6" s="5">
        <v>112000000</v>
      </c>
      <c r="N6" s="5">
        <v>54000000000</v>
      </c>
      <c r="O6" s="5">
        <v>0</v>
      </c>
      <c r="P6" s="5">
        <v>53888000000</v>
      </c>
      <c r="Q6" s="5">
        <v>521000000</v>
      </c>
      <c r="R6" s="5">
        <v>54000000000</v>
      </c>
      <c r="S6" s="4" t="s">
        <v>69</v>
      </c>
      <c r="T6" s="4"/>
      <c r="U6" s="4">
        <v>0.99792599999999998</v>
      </c>
      <c r="V6" s="4">
        <v>54000000000</v>
      </c>
      <c r="W6" s="4">
        <v>1</v>
      </c>
      <c r="X6" s="6" t="s">
        <v>92</v>
      </c>
      <c r="Y6" s="4"/>
      <c r="Z6" s="16"/>
      <c r="AA6" s="17">
        <f t="shared" si="1"/>
        <v>0</v>
      </c>
      <c r="AB6" s="17" t="str">
        <f t="shared" si="2"/>
        <v>perbaiki</v>
      </c>
      <c r="AC6" s="18">
        <v>2317601</v>
      </c>
      <c r="AD6" s="19">
        <f t="shared" si="3"/>
        <v>2317601</v>
      </c>
      <c r="AE6" s="17">
        <f t="shared" si="4"/>
        <v>110000000</v>
      </c>
      <c r="AF6" s="18"/>
      <c r="AG6" s="19">
        <f t="shared" si="5"/>
        <v>110000000</v>
      </c>
      <c r="AH6" s="17">
        <f t="shared" si="6"/>
        <v>0</v>
      </c>
      <c r="AI6" s="18"/>
      <c r="AJ6" s="19">
        <f t="shared" si="7"/>
        <v>0</v>
      </c>
      <c r="AK6" s="17">
        <f t="shared" si="8"/>
        <v>2000000</v>
      </c>
      <c r="AL6" s="18"/>
      <c r="AM6" s="19">
        <f t="shared" si="9"/>
        <v>2000000</v>
      </c>
      <c r="AN6" s="17">
        <f t="shared" si="10"/>
        <v>0</v>
      </c>
      <c r="AO6" s="18"/>
      <c r="AP6" s="19">
        <f t="shared" si="11"/>
        <v>0</v>
      </c>
      <c r="AQ6" s="17">
        <f t="shared" si="12"/>
        <v>54000000000</v>
      </c>
      <c r="AR6" s="18"/>
      <c r="AS6" s="19">
        <f t="shared" si="13"/>
        <v>54000000000</v>
      </c>
      <c r="AT6" s="17">
        <f t="shared" si="14"/>
        <v>0</v>
      </c>
      <c r="AU6" s="18"/>
      <c r="AV6" s="19">
        <f t="shared" si="15"/>
        <v>0</v>
      </c>
      <c r="AW6" s="17">
        <f t="shared" si="16"/>
        <v>54000000000</v>
      </c>
      <c r="AX6" s="17">
        <f t="shared" si="17"/>
        <v>112000000</v>
      </c>
      <c r="AY6" s="17">
        <f t="shared" si="18"/>
        <v>53888000000</v>
      </c>
      <c r="AZ6" s="20">
        <f t="shared" si="19"/>
        <v>0.99792592592592588</v>
      </c>
      <c r="BA6" s="20" t="str">
        <f t="shared" si="20"/>
        <v>dalam range</v>
      </c>
      <c r="BB6" s="21">
        <v>0.5</v>
      </c>
      <c r="BC6" s="21">
        <v>0.99</v>
      </c>
      <c r="BD6" s="21" t="str">
        <f t="shared" si="21"/>
        <v>#0</v>
      </c>
      <c r="BE6" s="16"/>
      <c r="BF6" s="4"/>
      <c r="BG6" s="22">
        <f t="shared" si="0"/>
        <v>27811212</v>
      </c>
      <c r="BH6" s="22" t="str">
        <f t="shared" si="22"/>
        <v/>
      </c>
      <c r="BI6" s="22" t="str">
        <f t="shared" si="23"/>
        <v/>
      </c>
      <c r="BJ6" s="22" t="str">
        <f t="shared" si="24"/>
        <v/>
      </c>
      <c r="BK6" s="22" t="str">
        <f t="shared" si="25"/>
        <v/>
      </c>
      <c r="BL6" s="22" t="str">
        <f t="shared" si="26"/>
        <v/>
      </c>
      <c r="BM6" s="22" t="str">
        <f t="shared" si="27"/>
        <v/>
      </c>
      <c r="BN6" s="23" t="str">
        <f t="shared" si="28"/>
        <v>#3</v>
      </c>
      <c r="BO6" s="23" t="str">
        <f t="shared" si="29"/>
        <v>#0</v>
      </c>
      <c r="BP6" s="23" t="str">
        <f t="shared" si="30"/>
        <v>#0</v>
      </c>
      <c r="BQ6" s="23" t="str">
        <f t="shared" si="31"/>
        <v>#0</v>
      </c>
      <c r="BR6" s="23" t="str">
        <f t="shared" si="32"/>
        <v>#0</v>
      </c>
      <c r="BS6" s="23" t="str">
        <f t="shared" si="33"/>
        <v>#0</v>
      </c>
      <c r="BT6" s="23" t="str">
        <f t="shared" si="34"/>
        <v>#0</v>
      </c>
      <c r="BU6" s="10" t="b">
        <v>1</v>
      </c>
      <c r="BV6" s="10" t="b">
        <v>0</v>
      </c>
    </row>
    <row r="7" spans="1:74" ht="15">
      <c r="A7" s="4" t="s">
        <v>63</v>
      </c>
      <c r="B7" s="4" t="s">
        <v>64</v>
      </c>
      <c r="C7" s="4" t="s">
        <v>93</v>
      </c>
      <c r="D7" s="4" t="s">
        <v>94</v>
      </c>
      <c r="E7" s="4" t="s">
        <v>95</v>
      </c>
      <c r="F7" s="4" t="s">
        <v>96</v>
      </c>
      <c r="G7" s="4">
        <v>10</v>
      </c>
      <c r="H7" s="5">
        <v>400000000</v>
      </c>
      <c r="I7" s="5">
        <v>128500000000</v>
      </c>
      <c r="J7" s="5">
        <v>0</v>
      </c>
      <c r="K7" s="5">
        <v>1200000000</v>
      </c>
      <c r="L7" s="5">
        <v>0</v>
      </c>
      <c r="M7" s="5">
        <v>130100000000</v>
      </c>
      <c r="N7" s="5">
        <v>155880000000</v>
      </c>
      <c r="O7" s="5">
        <v>0</v>
      </c>
      <c r="P7" s="5">
        <v>26180000000</v>
      </c>
      <c r="Q7" s="5">
        <v>430000000000</v>
      </c>
      <c r="R7" s="5">
        <v>155880000000</v>
      </c>
      <c r="S7" s="4" t="s">
        <v>69</v>
      </c>
      <c r="T7" s="4" t="s">
        <v>83</v>
      </c>
      <c r="U7" s="4">
        <v>0.16794999999999999</v>
      </c>
      <c r="V7" s="4">
        <v>15588000000</v>
      </c>
      <c r="W7" s="4">
        <v>1</v>
      </c>
      <c r="X7" s="6" t="s">
        <v>97</v>
      </c>
      <c r="Y7" s="4"/>
      <c r="Z7" s="16"/>
      <c r="AA7" s="17">
        <f t="shared" si="1"/>
        <v>3333333.333333333</v>
      </c>
      <c r="AB7" s="17" t="str">
        <f t="shared" si="2"/>
        <v>ok</v>
      </c>
      <c r="AC7" s="18"/>
      <c r="AD7" s="19">
        <f t="shared" si="3"/>
        <v>3333333.333333333</v>
      </c>
      <c r="AE7" s="17">
        <f t="shared" si="4"/>
        <v>128500000000</v>
      </c>
      <c r="AF7" s="24">
        <f>128500000-AE7</f>
        <v>-128371500000</v>
      </c>
      <c r="AG7" s="19">
        <f t="shared" si="5"/>
        <v>128500000</v>
      </c>
      <c r="AH7" s="17">
        <f t="shared" si="6"/>
        <v>0</v>
      </c>
      <c r="AI7" s="18"/>
      <c r="AJ7" s="19">
        <f t="shared" si="7"/>
        <v>0</v>
      </c>
      <c r="AK7" s="17">
        <f t="shared" si="8"/>
        <v>1200000000</v>
      </c>
      <c r="AL7" s="18"/>
      <c r="AM7" s="19">
        <f t="shared" si="9"/>
        <v>1200000000</v>
      </c>
      <c r="AN7" s="17">
        <f t="shared" si="10"/>
        <v>0</v>
      </c>
      <c r="AO7" s="18"/>
      <c r="AP7" s="19">
        <f t="shared" si="11"/>
        <v>0</v>
      </c>
      <c r="AQ7" s="17">
        <f t="shared" si="12"/>
        <v>155880000000</v>
      </c>
      <c r="AR7" s="18"/>
      <c r="AS7" s="19">
        <f t="shared" si="13"/>
        <v>155880000000</v>
      </c>
      <c r="AT7" s="17">
        <f t="shared" si="14"/>
        <v>0</v>
      </c>
      <c r="AU7" s="18"/>
      <c r="AV7" s="19">
        <f t="shared" si="15"/>
        <v>0</v>
      </c>
      <c r="AW7" s="17">
        <f t="shared" si="16"/>
        <v>155880000000</v>
      </c>
      <c r="AX7" s="17">
        <f t="shared" si="17"/>
        <v>1328500000</v>
      </c>
      <c r="AY7" s="17">
        <f t="shared" si="18"/>
        <v>154551500000</v>
      </c>
      <c r="AZ7" s="20">
        <f t="shared" si="19"/>
        <v>0.99147741852707205</v>
      </c>
      <c r="BA7" s="20" t="str">
        <f t="shared" si="20"/>
        <v>dalam range</v>
      </c>
      <c r="BB7" s="21">
        <v>0.5</v>
      </c>
      <c r="BC7" s="21">
        <v>0.99</v>
      </c>
      <c r="BD7" s="21" t="str">
        <f t="shared" si="21"/>
        <v>Adjustment</v>
      </c>
      <c r="BE7" s="16"/>
      <c r="BF7" s="4"/>
      <c r="BG7" s="22" t="str">
        <f t="shared" si="0"/>
        <v/>
      </c>
      <c r="BH7" s="22">
        <f t="shared" si="22"/>
        <v>128500000</v>
      </c>
      <c r="BI7" s="22" t="str">
        <f t="shared" si="23"/>
        <v/>
      </c>
      <c r="BJ7" s="22" t="str">
        <f t="shared" si="24"/>
        <v/>
      </c>
      <c r="BK7" s="22" t="str">
        <f t="shared" si="25"/>
        <v/>
      </c>
      <c r="BL7" s="22" t="str">
        <f t="shared" si="26"/>
        <v/>
      </c>
      <c r="BM7" s="22" t="str">
        <f t="shared" si="27"/>
        <v/>
      </c>
      <c r="BN7" s="23" t="str">
        <f t="shared" si="28"/>
        <v>#0</v>
      </c>
      <c r="BO7" s="23" t="str">
        <f t="shared" si="29"/>
        <v>#3</v>
      </c>
      <c r="BP7" s="23" t="str">
        <f t="shared" si="30"/>
        <v>#0</v>
      </c>
      <c r="BQ7" s="23" t="str">
        <f t="shared" si="31"/>
        <v>#0</v>
      </c>
      <c r="BR7" s="23" t="str">
        <f t="shared" si="32"/>
        <v>#0</v>
      </c>
      <c r="BS7" s="23" t="str">
        <f t="shared" si="33"/>
        <v>#0</v>
      </c>
      <c r="BT7" s="23" t="str">
        <f t="shared" si="34"/>
        <v>#0</v>
      </c>
      <c r="BU7" s="10" t="b">
        <v>1</v>
      </c>
      <c r="BV7" s="10" t="b">
        <v>0</v>
      </c>
    </row>
    <row r="8" spans="1:74" ht="15">
      <c r="A8" s="4" t="s">
        <v>63</v>
      </c>
      <c r="B8" s="4" t="s">
        <v>64</v>
      </c>
      <c r="C8" s="4" t="s">
        <v>65</v>
      </c>
      <c r="D8" s="4" t="s">
        <v>98</v>
      </c>
      <c r="E8" s="4" t="s">
        <v>99</v>
      </c>
      <c r="F8" s="4" t="s">
        <v>100</v>
      </c>
      <c r="G8" s="4">
        <v>96</v>
      </c>
      <c r="H8" s="5">
        <v>11695988479</v>
      </c>
      <c r="I8" s="5">
        <v>33345158576</v>
      </c>
      <c r="J8" s="5">
        <v>0</v>
      </c>
      <c r="K8" s="5">
        <v>26126990462</v>
      </c>
      <c r="L8" s="5">
        <v>15618831512</v>
      </c>
      <c r="M8" s="5">
        <v>86786969029</v>
      </c>
      <c r="N8" s="5">
        <v>106583064009</v>
      </c>
      <c r="O8" s="5">
        <v>0</v>
      </c>
      <c r="P8" s="5">
        <v>47110914971</v>
      </c>
      <c r="Q8" s="5">
        <v>409996945075</v>
      </c>
      <c r="R8" s="5">
        <v>106583064009</v>
      </c>
      <c r="S8" s="4" t="s">
        <v>69</v>
      </c>
      <c r="T8" s="4"/>
      <c r="U8" s="4">
        <v>0.44201099999999999</v>
      </c>
      <c r="V8" s="4">
        <v>1110240250.09375</v>
      </c>
      <c r="W8" s="4">
        <v>1</v>
      </c>
      <c r="X8" s="6" t="s">
        <v>101</v>
      </c>
      <c r="Y8" s="4" t="s">
        <v>102</v>
      </c>
      <c r="Z8" s="16"/>
      <c r="AA8" s="17">
        <f t="shared" si="1"/>
        <v>10152767.776909722</v>
      </c>
      <c r="AB8" s="17" t="str">
        <f t="shared" si="2"/>
        <v>ok</v>
      </c>
      <c r="AC8" s="18"/>
      <c r="AD8" s="19">
        <f t="shared" si="3"/>
        <v>10152767.776909722</v>
      </c>
      <c r="AE8" s="17">
        <f t="shared" si="4"/>
        <v>33345158576</v>
      </c>
      <c r="AF8" s="24">
        <f>AM8-AE8</f>
        <v>-7218168114</v>
      </c>
      <c r="AG8" s="19">
        <f t="shared" si="5"/>
        <v>26126990462</v>
      </c>
      <c r="AH8" s="17">
        <f t="shared" si="6"/>
        <v>0</v>
      </c>
      <c r="AI8" s="18"/>
      <c r="AJ8" s="19">
        <f t="shared" si="7"/>
        <v>0</v>
      </c>
      <c r="AK8" s="17">
        <f t="shared" si="8"/>
        <v>26126990462</v>
      </c>
      <c r="AL8" s="18"/>
      <c r="AM8" s="19">
        <f t="shared" si="9"/>
        <v>26126990462</v>
      </c>
      <c r="AN8" s="17">
        <f t="shared" si="10"/>
        <v>15618831512</v>
      </c>
      <c r="AO8" s="18"/>
      <c r="AP8" s="19">
        <f t="shared" si="11"/>
        <v>15618831512</v>
      </c>
      <c r="AQ8" s="17">
        <f t="shared" si="12"/>
        <v>106583064009</v>
      </c>
      <c r="AR8" s="18"/>
      <c r="AS8" s="19">
        <f t="shared" si="13"/>
        <v>106583064009</v>
      </c>
      <c r="AT8" s="17">
        <f t="shared" si="14"/>
        <v>0</v>
      </c>
      <c r="AU8" s="18"/>
      <c r="AV8" s="19">
        <f t="shared" si="15"/>
        <v>0</v>
      </c>
      <c r="AW8" s="17">
        <f t="shared" si="16"/>
        <v>106583064009</v>
      </c>
      <c r="AX8" s="17">
        <f t="shared" si="17"/>
        <v>52253980924</v>
      </c>
      <c r="AY8" s="17">
        <f t="shared" si="18"/>
        <v>54329083085</v>
      </c>
      <c r="AZ8" s="20">
        <f t="shared" si="19"/>
        <v>0.50973467117076299</v>
      </c>
      <c r="BA8" s="20" t="str">
        <f t="shared" si="20"/>
        <v>dalam range</v>
      </c>
      <c r="BB8" s="21">
        <v>0.5</v>
      </c>
      <c r="BC8" s="21">
        <v>0.99</v>
      </c>
      <c r="BD8" s="21" t="str">
        <f t="shared" si="21"/>
        <v>Adjustment</v>
      </c>
      <c r="BE8" s="16"/>
      <c r="BF8" s="4"/>
      <c r="BG8" s="22" t="str">
        <f t="shared" si="0"/>
        <v/>
      </c>
      <c r="BH8" s="22">
        <f t="shared" si="22"/>
        <v>26126990462</v>
      </c>
      <c r="BI8" s="22" t="str">
        <f t="shared" si="23"/>
        <v/>
      </c>
      <c r="BJ8" s="22" t="str">
        <f t="shared" si="24"/>
        <v/>
      </c>
      <c r="BK8" s="22" t="str">
        <f t="shared" si="25"/>
        <v/>
      </c>
      <c r="BL8" s="22" t="str">
        <f t="shared" si="26"/>
        <v/>
      </c>
      <c r="BM8" s="22" t="str">
        <f t="shared" si="27"/>
        <v/>
      </c>
      <c r="BN8" s="23" t="str">
        <f t="shared" si="28"/>
        <v>#0</v>
      </c>
      <c r="BO8" s="23" t="str">
        <f t="shared" si="29"/>
        <v>#3</v>
      </c>
      <c r="BP8" s="23" t="str">
        <f t="shared" si="30"/>
        <v>#0</v>
      </c>
      <c r="BQ8" s="23" t="str">
        <f t="shared" si="31"/>
        <v>#0</v>
      </c>
      <c r="BR8" s="23" t="str">
        <f t="shared" si="32"/>
        <v>#0</v>
      </c>
      <c r="BS8" s="23" t="str">
        <f t="shared" si="33"/>
        <v>#0</v>
      </c>
      <c r="BT8" s="23" t="str">
        <f t="shared" si="34"/>
        <v>#0</v>
      </c>
      <c r="BU8" s="10" t="b">
        <v>1</v>
      </c>
      <c r="BV8" s="10" t="b">
        <v>0</v>
      </c>
    </row>
    <row r="9" spans="1:74" ht="15">
      <c r="A9" s="4" t="s">
        <v>103</v>
      </c>
      <c r="B9" s="4" t="s">
        <v>64</v>
      </c>
      <c r="C9" s="4" t="s">
        <v>65</v>
      </c>
      <c r="D9" s="4" t="s">
        <v>104</v>
      </c>
      <c r="E9" s="4" t="s">
        <v>105</v>
      </c>
      <c r="F9" s="4" t="s">
        <v>106</v>
      </c>
      <c r="G9" s="4">
        <v>5</v>
      </c>
      <c r="H9" s="5">
        <v>1124155450</v>
      </c>
      <c r="I9" s="5">
        <v>35462069051</v>
      </c>
      <c r="J9" s="5">
        <v>0</v>
      </c>
      <c r="K9" s="5">
        <v>212574005</v>
      </c>
      <c r="L9" s="5">
        <v>194716066</v>
      </c>
      <c r="M9" s="5">
        <v>36993514572</v>
      </c>
      <c r="N9" s="5">
        <v>67280789518</v>
      </c>
      <c r="O9" s="5">
        <v>199104325</v>
      </c>
      <c r="P9" s="5">
        <v>31606146462</v>
      </c>
      <c r="Q9" s="5">
        <v>311535000000</v>
      </c>
      <c r="R9" s="5">
        <v>67280789518</v>
      </c>
      <c r="S9" s="4" t="s">
        <v>69</v>
      </c>
      <c r="T9" s="4"/>
      <c r="U9" s="4">
        <v>0.46976499999999999</v>
      </c>
      <c r="V9" s="4">
        <v>13456157903.6</v>
      </c>
      <c r="W9" s="4">
        <v>1</v>
      </c>
      <c r="X9" s="6" t="s">
        <v>107</v>
      </c>
      <c r="Y9" s="4" t="s">
        <v>108</v>
      </c>
      <c r="Z9" s="16"/>
      <c r="AA9" s="17">
        <f t="shared" si="1"/>
        <v>18735924.166666664</v>
      </c>
      <c r="AB9" s="17" t="str">
        <f t="shared" si="2"/>
        <v>perbaiki</v>
      </c>
      <c r="AC9" s="18">
        <v>-15000000</v>
      </c>
      <c r="AD9" s="19">
        <f t="shared" si="3"/>
        <v>3735924.1666666642</v>
      </c>
      <c r="AE9" s="17">
        <f t="shared" si="4"/>
        <v>35462069051</v>
      </c>
      <c r="AF9" s="24"/>
      <c r="AG9" s="19">
        <f t="shared" si="5"/>
        <v>35462069051</v>
      </c>
      <c r="AH9" s="17">
        <f t="shared" si="6"/>
        <v>0</v>
      </c>
      <c r="AI9" s="18"/>
      <c r="AJ9" s="19">
        <f t="shared" si="7"/>
        <v>0</v>
      </c>
      <c r="AK9" s="17">
        <f t="shared" si="8"/>
        <v>212574005</v>
      </c>
      <c r="AL9" s="18"/>
      <c r="AM9" s="19">
        <f t="shared" si="9"/>
        <v>212574005</v>
      </c>
      <c r="AN9" s="17">
        <f t="shared" si="10"/>
        <v>194716066</v>
      </c>
      <c r="AO9" s="18"/>
      <c r="AP9" s="19">
        <f t="shared" si="11"/>
        <v>194716066</v>
      </c>
      <c r="AQ9" s="17">
        <f t="shared" si="12"/>
        <v>67280789518</v>
      </c>
      <c r="AR9" s="24">
        <f>AT9</f>
        <v>199104325</v>
      </c>
      <c r="AS9" s="19">
        <f t="shared" si="13"/>
        <v>67479893843</v>
      </c>
      <c r="AT9" s="17">
        <f t="shared" si="14"/>
        <v>199104325</v>
      </c>
      <c r="AU9" s="18"/>
      <c r="AV9" s="19">
        <f t="shared" si="15"/>
        <v>199104325</v>
      </c>
      <c r="AW9" s="17">
        <f t="shared" si="16"/>
        <v>67479893843</v>
      </c>
      <c r="AX9" s="17">
        <f t="shared" si="17"/>
        <v>35674643056</v>
      </c>
      <c r="AY9" s="17">
        <f t="shared" si="18"/>
        <v>31805250787</v>
      </c>
      <c r="AZ9" s="20">
        <f t="shared" si="19"/>
        <v>0.47132929493040843</v>
      </c>
      <c r="BA9" s="20" t="str">
        <f t="shared" si="20"/>
        <v>dalam range</v>
      </c>
      <c r="BB9" s="21">
        <v>0.5</v>
      </c>
      <c r="BC9" s="21">
        <v>0.99</v>
      </c>
      <c r="BD9" s="21" t="str">
        <f t="shared" si="21"/>
        <v>Adjustment</v>
      </c>
      <c r="BE9" s="16"/>
      <c r="BF9" s="4"/>
      <c r="BG9" s="22">
        <f t="shared" si="0"/>
        <v>224155449.99999985</v>
      </c>
      <c r="BH9" s="22" t="str">
        <f t="shared" si="22"/>
        <v/>
      </c>
      <c r="BI9" s="22" t="str">
        <f t="shared" si="23"/>
        <v/>
      </c>
      <c r="BJ9" s="22" t="str">
        <f t="shared" si="24"/>
        <v/>
      </c>
      <c r="BK9" s="22" t="str">
        <f t="shared" si="25"/>
        <v/>
      </c>
      <c r="BL9" s="22">
        <f t="shared" si="26"/>
        <v>67479893843</v>
      </c>
      <c r="BM9" s="22" t="str">
        <f t="shared" si="27"/>
        <v/>
      </c>
      <c r="BN9" s="23" t="str">
        <f t="shared" si="28"/>
        <v>#3</v>
      </c>
      <c r="BO9" s="23" t="str">
        <f t="shared" si="29"/>
        <v>#0</v>
      </c>
      <c r="BP9" s="23" t="str">
        <f t="shared" si="30"/>
        <v>#0</v>
      </c>
      <c r="BQ9" s="23" t="str">
        <f t="shared" si="31"/>
        <v>#0</v>
      </c>
      <c r="BR9" s="23" t="str">
        <f t="shared" si="32"/>
        <v>#0</v>
      </c>
      <c r="BS9" s="23" t="str">
        <f t="shared" si="33"/>
        <v>#3</v>
      </c>
      <c r="BT9" s="23" t="str">
        <f t="shared" si="34"/>
        <v>#0</v>
      </c>
      <c r="BU9" s="10" t="b">
        <v>1</v>
      </c>
      <c r="BV9" s="10" t="b">
        <v>0</v>
      </c>
    </row>
    <row r="10" spans="1:74" ht="15">
      <c r="A10" s="4" t="s">
        <v>103</v>
      </c>
      <c r="B10" s="4" t="s">
        <v>64</v>
      </c>
      <c r="C10" s="4" t="s">
        <v>65</v>
      </c>
      <c r="D10" s="4" t="s">
        <v>109</v>
      </c>
      <c r="E10" s="4" t="s">
        <v>110</v>
      </c>
      <c r="F10" s="4" t="s">
        <v>111</v>
      </c>
      <c r="G10" s="4">
        <v>21</v>
      </c>
      <c r="H10" s="5">
        <v>2387732815</v>
      </c>
      <c r="I10" s="5">
        <v>45120959975</v>
      </c>
      <c r="J10" s="5">
        <v>0</v>
      </c>
      <c r="K10" s="5">
        <v>668110997</v>
      </c>
      <c r="L10" s="5">
        <v>2650199458</v>
      </c>
      <c r="M10" s="5">
        <v>50827003245</v>
      </c>
      <c r="N10" s="5">
        <v>86912621200</v>
      </c>
      <c r="O10" s="5">
        <v>17563016339</v>
      </c>
      <c r="P10" s="5">
        <v>41123550228</v>
      </c>
      <c r="Q10" s="5">
        <v>45120959974</v>
      </c>
      <c r="R10" s="5">
        <v>86912621200</v>
      </c>
      <c r="S10" s="4" t="s">
        <v>69</v>
      </c>
      <c r="T10" s="4" t="s">
        <v>112</v>
      </c>
      <c r="U10" s="4">
        <v>0.47316000000000003</v>
      </c>
      <c r="V10" s="4">
        <v>4138696247.61904</v>
      </c>
      <c r="W10" s="4">
        <v>1</v>
      </c>
      <c r="X10" s="6" t="s">
        <v>113</v>
      </c>
      <c r="Y10" s="4" t="s">
        <v>114</v>
      </c>
      <c r="Z10" s="16"/>
      <c r="AA10" s="17">
        <f t="shared" si="1"/>
        <v>9475130.2182539683</v>
      </c>
      <c r="AB10" s="17" t="str">
        <f t="shared" si="2"/>
        <v>ok</v>
      </c>
      <c r="AC10" s="18"/>
      <c r="AD10" s="19">
        <f t="shared" si="3"/>
        <v>9475130.2182539683</v>
      </c>
      <c r="AE10" s="17">
        <f t="shared" si="4"/>
        <v>45120959975</v>
      </c>
      <c r="AF10" s="18"/>
      <c r="AG10" s="19">
        <f t="shared" si="5"/>
        <v>45120959975</v>
      </c>
      <c r="AH10" s="17">
        <f t="shared" si="6"/>
        <v>0</v>
      </c>
      <c r="AI10" s="18"/>
      <c r="AJ10" s="19">
        <f t="shared" si="7"/>
        <v>0</v>
      </c>
      <c r="AK10" s="17">
        <f t="shared" si="8"/>
        <v>668110997</v>
      </c>
      <c r="AL10" s="18"/>
      <c r="AM10" s="19">
        <f t="shared" si="9"/>
        <v>668110997</v>
      </c>
      <c r="AN10" s="17">
        <f t="shared" si="10"/>
        <v>2650199458</v>
      </c>
      <c r="AO10" s="18"/>
      <c r="AP10" s="19">
        <f t="shared" si="11"/>
        <v>2650199458</v>
      </c>
      <c r="AQ10" s="17">
        <f t="shared" si="12"/>
        <v>86912621200</v>
      </c>
      <c r="AR10" s="18"/>
      <c r="AS10" s="19">
        <f t="shared" si="13"/>
        <v>86912621200</v>
      </c>
      <c r="AT10" s="17">
        <f t="shared" si="14"/>
        <v>17563016339</v>
      </c>
      <c r="AU10" s="18"/>
      <c r="AV10" s="19">
        <f t="shared" si="15"/>
        <v>17563016339</v>
      </c>
      <c r="AW10" s="17">
        <f t="shared" si="16"/>
        <v>86912621200</v>
      </c>
      <c r="AX10" s="17">
        <f t="shared" si="17"/>
        <v>45789070972</v>
      </c>
      <c r="AY10" s="17">
        <f t="shared" si="18"/>
        <v>41123550228</v>
      </c>
      <c r="AZ10" s="20">
        <f t="shared" si="19"/>
        <v>0.47315970523277695</v>
      </c>
      <c r="BA10" s="20" t="str">
        <f t="shared" si="20"/>
        <v>dalam range</v>
      </c>
      <c r="BB10" s="21">
        <v>0.5</v>
      </c>
      <c r="BC10" s="21">
        <v>0.99</v>
      </c>
      <c r="BD10" s="21" t="str">
        <f t="shared" si="21"/>
        <v>#0</v>
      </c>
      <c r="BE10" s="16"/>
      <c r="BF10" s="4"/>
      <c r="BG10" s="22" t="str">
        <f t="shared" si="0"/>
        <v/>
      </c>
      <c r="BH10" s="22" t="str">
        <f t="shared" si="22"/>
        <v/>
      </c>
      <c r="BI10" s="22" t="str">
        <f t="shared" si="23"/>
        <v/>
      </c>
      <c r="BJ10" s="22" t="str">
        <f t="shared" si="24"/>
        <v/>
      </c>
      <c r="BK10" s="22" t="str">
        <f t="shared" si="25"/>
        <v/>
      </c>
      <c r="BL10" s="22" t="str">
        <f t="shared" si="26"/>
        <v/>
      </c>
      <c r="BM10" s="22" t="str">
        <f t="shared" si="27"/>
        <v/>
      </c>
      <c r="BN10" s="23" t="str">
        <f t="shared" si="28"/>
        <v>#0</v>
      </c>
      <c r="BO10" s="23" t="str">
        <f t="shared" si="29"/>
        <v>#0</v>
      </c>
      <c r="BP10" s="23" t="str">
        <f t="shared" si="30"/>
        <v>#0</v>
      </c>
      <c r="BQ10" s="23" t="str">
        <f t="shared" si="31"/>
        <v>#0</v>
      </c>
      <c r="BR10" s="23" t="str">
        <f t="shared" si="32"/>
        <v>#0</v>
      </c>
      <c r="BS10" s="23" t="str">
        <f t="shared" si="33"/>
        <v>#0</v>
      </c>
      <c r="BT10" s="23" t="str">
        <f t="shared" si="34"/>
        <v>#0</v>
      </c>
      <c r="BU10" s="10" t="b">
        <v>1</v>
      </c>
      <c r="BV10" s="10" t="b">
        <v>0</v>
      </c>
    </row>
    <row r="11" spans="1:74" ht="15">
      <c r="A11" s="4" t="s">
        <v>115</v>
      </c>
      <c r="B11" s="4" t="s">
        <v>64</v>
      </c>
      <c r="C11" s="4" t="s">
        <v>116</v>
      </c>
      <c r="D11" s="4" t="s">
        <v>117</v>
      </c>
      <c r="E11" s="4" t="s">
        <v>118</v>
      </c>
      <c r="F11" s="4" t="s">
        <v>119</v>
      </c>
      <c r="G11" s="4">
        <v>35</v>
      </c>
      <c r="H11" s="5">
        <v>3249894249</v>
      </c>
      <c r="I11" s="5">
        <v>0</v>
      </c>
      <c r="J11" s="5">
        <v>0</v>
      </c>
      <c r="K11" s="5">
        <v>32448213841</v>
      </c>
      <c r="L11" s="5">
        <v>17190976166</v>
      </c>
      <c r="M11" s="5">
        <v>52889084256</v>
      </c>
      <c r="N11" s="5">
        <v>52751947923</v>
      </c>
      <c r="O11" s="5">
        <v>660567699</v>
      </c>
      <c r="P11" s="5">
        <v>20303734082</v>
      </c>
      <c r="Q11" s="5">
        <v>17000000000</v>
      </c>
      <c r="R11" s="5">
        <v>52751947923</v>
      </c>
      <c r="S11" s="4" t="s">
        <v>69</v>
      </c>
      <c r="T11" s="4"/>
      <c r="U11" s="4">
        <v>0.38489099999999998</v>
      </c>
      <c r="V11" s="4">
        <v>1507198512.08571</v>
      </c>
      <c r="W11" s="4">
        <v>1</v>
      </c>
      <c r="X11" s="6" t="s">
        <v>120</v>
      </c>
      <c r="Y11" s="4"/>
      <c r="Z11" s="16"/>
      <c r="AA11" s="17">
        <f t="shared" si="1"/>
        <v>7737843.4500000002</v>
      </c>
      <c r="AB11" s="17" t="str">
        <f t="shared" si="2"/>
        <v>ok</v>
      </c>
      <c r="AC11" s="18"/>
      <c r="AD11" s="19">
        <f t="shared" si="3"/>
        <v>7737843.4500000002</v>
      </c>
      <c r="AE11" s="17">
        <f t="shared" si="4"/>
        <v>0</v>
      </c>
      <c r="AF11" s="18"/>
      <c r="AG11" s="19">
        <f t="shared" si="5"/>
        <v>0</v>
      </c>
      <c r="AH11" s="17">
        <f t="shared" si="6"/>
        <v>0</v>
      </c>
      <c r="AI11" s="18"/>
      <c r="AJ11" s="19">
        <f t="shared" si="7"/>
        <v>0</v>
      </c>
      <c r="AK11" s="17">
        <f t="shared" si="8"/>
        <v>32448213841</v>
      </c>
      <c r="AL11" s="24">
        <f>AK11/3-AK11</f>
        <v>-21632142560.666664</v>
      </c>
      <c r="AM11" s="19">
        <f t="shared" si="9"/>
        <v>10816071280.333336</v>
      </c>
      <c r="AN11" s="17">
        <f t="shared" si="10"/>
        <v>17190976166</v>
      </c>
      <c r="AO11" s="18"/>
      <c r="AP11" s="19">
        <f t="shared" si="11"/>
        <v>17190976166</v>
      </c>
      <c r="AQ11" s="17">
        <f t="shared" si="12"/>
        <v>52751947923</v>
      </c>
      <c r="AR11" s="24"/>
      <c r="AS11" s="19">
        <f t="shared" si="13"/>
        <v>52751947923</v>
      </c>
      <c r="AT11" s="17">
        <f t="shared" si="14"/>
        <v>660567699</v>
      </c>
      <c r="AU11" s="18"/>
      <c r="AV11" s="19">
        <f t="shared" si="15"/>
        <v>660567699</v>
      </c>
      <c r="AW11" s="17">
        <f t="shared" si="16"/>
        <v>52751947923</v>
      </c>
      <c r="AX11" s="17">
        <f t="shared" si="17"/>
        <v>10816071280.333336</v>
      </c>
      <c r="AY11" s="17">
        <f t="shared" si="18"/>
        <v>41935876642.666664</v>
      </c>
      <c r="AZ11" s="20">
        <f t="shared" si="19"/>
        <v>0.79496356615833141</v>
      </c>
      <c r="BA11" s="20" t="str">
        <f t="shared" si="20"/>
        <v>dalam range</v>
      </c>
      <c r="BB11" s="21">
        <v>0.5</v>
      </c>
      <c r="BC11" s="21">
        <v>0.99</v>
      </c>
      <c r="BD11" s="21" t="str">
        <f t="shared" si="21"/>
        <v>Adjustment</v>
      </c>
      <c r="BE11" s="16"/>
      <c r="BF11" s="4"/>
      <c r="BG11" s="22" t="str">
        <f t="shared" si="0"/>
        <v/>
      </c>
      <c r="BH11" s="22" t="str">
        <f t="shared" si="22"/>
        <v/>
      </c>
      <c r="BI11" s="22" t="str">
        <f t="shared" si="23"/>
        <v/>
      </c>
      <c r="BJ11" s="22">
        <f t="shared" si="24"/>
        <v>10816071280.333336</v>
      </c>
      <c r="BK11" s="22" t="str">
        <f t="shared" si="25"/>
        <v/>
      </c>
      <c r="BL11" s="22" t="str">
        <f t="shared" si="26"/>
        <v/>
      </c>
      <c r="BM11" s="22" t="str">
        <f t="shared" si="27"/>
        <v/>
      </c>
      <c r="BN11" s="23" t="str">
        <f t="shared" si="28"/>
        <v>#0</v>
      </c>
      <c r="BO11" s="23" t="str">
        <f t="shared" si="29"/>
        <v>#0</v>
      </c>
      <c r="BP11" s="23" t="str">
        <f t="shared" si="30"/>
        <v>#0</v>
      </c>
      <c r="BQ11" s="23" t="str">
        <f t="shared" si="31"/>
        <v>#3</v>
      </c>
      <c r="BR11" s="23" t="str">
        <f t="shared" si="32"/>
        <v>#0</v>
      </c>
      <c r="BS11" s="23" t="str">
        <f t="shared" si="33"/>
        <v>#0</v>
      </c>
      <c r="BT11" s="23" t="str">
        <f t="shared" si="34"/>
        <v>#0</v>
      </c>
      <c r="BU11" s="10" t="b">
        <v>1</v>
      </c>
      <c r="BV11" s="10" t="b">
        <v>0</v>
      </c>
    </row>
    <row r="12" spans="1:74" ht="15">
      <c r="A12" s="4" t="s">
        <v>121</v>
      </c>
      <c r="B12" s="4" t="s">
        <v>64</v>
      </c>
      <c r="C12" s="4" t="s">
        <v>65</v>
      </c>
      <c r="D12" s="4" t="s">
        <v>122</v>
      </c>
      <c r="E12" s="4" t="s">
        <v>123</v>
      </c>
      <c r="F12" s="4" t="s">
        <v>124</v>
      </c>
      <c r="G12" s="4">
        <v>112</v>
      </c>
      <c r="H12" s="5">
        <v>38885849728</v>
      </c>
      <c r="I12" s="5">
        <v>0</v>
      </c>
      <c r="J12" s="5">
        <v>0</v>
      </c>
      <c r="K12" s="5">
        <v>72244311634</v>
      </c>
      <c r="L12" s="5">
        <v>636371555</v>
      </c>
      <c r="M12" s="5">
        <v>111766532917</v>
      </c>
      <c r="N12" s="5">
        <v>86252196814</v>
      </c>
      <c r="O12" s="5">
        <v>1084689037</v>
      </c>
      <c r="P12" s="5">
        <v>14007885180</v>
      </c>
      <c r="Q12" s="5">
        <v>10000000000</v>
      </c>
      <c r="R12" s="5">
        <v>86252196814</v>
      </c>
      <c r="S12" s="4" t="s">
        <v>69</v>
      </c>
      <c r="T12" s="4"/>
      <c r="U12" s="4">
        <v>0.16240599999999999</v>
      </c>
      <c r="V12" s="4">
        <v>770108900.125</v>
      </c>
      <c r="W12" s="4">
        <v>1</v>
      </c>
      <c r="X12" s="6" t="s">
        <v>125</v>
      </c>
      <c r="Y12" s="4" t="s">
        <v>126</v>
      </c>
      <c r="Z12" s="16"/>
      <c r="AA12" s="17">
        <f t="shared" si="1"/>
        <v>28932923.904761907</v>
      </c>
      <c r="AB12" s="17" t="str">
        <f t="shared" si="2"/>
        <v>perbaiki</v>
      </c>
      <c r="AC12" s="24">
        <f>(5*2317601)-AA12</f>
        <v>-17344918.904761907</v>
      </c>
      <c r="AD12" s="19">
        <f t="shared" si="3"/>
        <v>11588005</v>
      </c>
      <c r="AE12" s="17">
        <f t="shared" si="4"/>
        <v>0</v>
      </c>
      <c r="AF12" s="18"/>
      <c r="AG12" s="19">
        <f t="shared" si="5"/>
        <v>0</v>
      </c>
      <c r="AH12" s="17">
        <f t="shared" si="6"/>
        <v>0</v>
      </c>
      <c r="AI12" s="18"/>
      <c r="AJ12" s="19">
        <f t="shared" si="7"/>
        <v>0</v>
      </c>
      <c r="AK12" s="17">
        <f t="shared" si="8"/>
        <v>72244311634</v>
      </c>
      <c r="AL12" s="24">
        <f>AK12/3-AK12</f>
        <v>-48162874422.666672</v>
      </c>
      <c r="AM12" s="19">
        <f t="shared" si="9"/>
        <v>24081437211.333328</v>
      </c>
      <c r="AN12" s="17">
        <f t="shared" si="10"/>
        <v>636371555</v>
      </c>
      <c r="AO12" s="18"/>
      <c r="AP12" s="19">
        <f t="shared" si="11"/>
        <v>636371555</v>
      </c>
      <c r="AQ12" s="17">
        <f t="shared" si="12"/>
        <v>86252196814</v>
      </c>
      <c r="AR12" s="24">
        <f>AT12</f>
        <v>1084689037</v>
      </c>
      <c r="AS12" s="19">
        <f t="shared" si="13"/>
        <v>87336885851</v>
      </c>
      <c r="AT12" s="17">
        <f t="shared" si="14"/>
        <v>1084689037</v>
      </c>
      <c r="AU12" s="18"/>
      <c r="AV12" s="19">
        <f t="shared" si="15"/>
        <v>1084689037</v>
      </c>
      <c r="AW12" s="17">
        <f t="shared" si="16"/>
        <v>87336885851</v>
      </c>
      <c r="AX12" s="17">
        <f t="shared" si="17"/>
        <v>24081437211.333328</v>
      </c>
      <c r="AY12" s="17">
        <f t="shared" si="18"/>
        <v>63255448639.666672</v>
      </c>
      <c r="AZ12" s="20">
        <f t="shared" si="19"/>
        <v>0.72426956861712288</v>
      </c>
      <c r="BA12" s="20" t="str">
        <f t="shared" si="20"/>
        <v>dalam range</v>
      </c>
      <c r="BB12" s="21">
        <v>0.5</v>
      </c>
      <c r="BC12" s="21">
        <v>0.99</v>
      </c>
      <c r="BD12" s="21" t="str">
        <f t="shared" si="21"/>
        <v>Adjustment</v>
      </c>
      <c r="BE12" s="16"/>
      <c r="BF12" s="4"/>
      <c r="BG12" s="22">
        <f t="shared" si="0"/>
        <v>15574278720</v>
      </c>
      <c r="BH12" s="22" t="str">
        <f t="shared" si="22"/>
        <v/>
      </c>
      <c r="BI12" s="22" t="str">
        <f t="shared" si="23"/>
        <v/>
      </c>
      <c r="BJ12" s="22">
        <f t="shared" si="24"/>
        <v>24081437211.333328</v>
      </c>
      <c r="BK12" s="22" t="str">
        <f t="shared" si="25"/>
        <v/>
      </c>
      <c r="BL12" s="22">
        <f t="shared" si="26"/>
        <v>87336885851</v>
      </c>
      <c r="BM12" s="22" t="str">
        <f t="shared" si="27"/>
        <v/>
      </c>
      <c r="BN12" s="23" t="str">
        <f t="shared" si="28"/>
        <v>#3</v>
      </c>
      <c r="BO12" s="23" t="str">
        <f t="shared" si="29"/>
        <v>#0</v>
      </c>
      <c r="BP12" s="23" t="str">
        <f t="shared" si="30"/>
        <v>#0</v>
      </c>
      <c r="BQ12" s="23" t="str">
        <f t="shared" si="31"/>
        <v>#3</v>
      </c>
      <c r="BR12" s="23" t="str">
        <f t="shared" si="32"/>
        <v>#0</v>
      </c>
      <c r="BS12" s="23" t="str">
        <f t="shared" si="33"/>
        <v>#3</v>
      </c>
      <c r="BT12" s="23" t="str">
        <f t="shared" si="34"/>
        <v>#0</v>
      </c>
      <c r="BU12" s="10" t="b">
        <v>1</v>
      </c>
      <c r="BV12" s="10" t="b">
        <v>0</v>
      </c>
    </row>
    <row r="13" spans="1:74" ht="15">
      <c r="A13" s="4" t="s">
        <v>115</v>
      </c>
      <c r="B13" s="4" t="s">
        <v>64</v>
      </c>
      <c r="C13" s="4" t="s">
        <v>65</v>
      </c>
      <c r="D13" s="4" t="s">
        <v>109</v>
      </c>
      <c r="E13" s="4" t="s">
        <v>127</v>
      </c>
      <c r="F13" s="4" t="s">
        <v>128</v>
      </c>
      <c r="G13" s="4">
        <v>9</v>
      </c>
      <c r="H13" s="5">
        <v>540000000</v>
      </c>
      <c r="I13" s="5">
        <v>68000000000</v>
      </c>
      <c r="J13" s="5">
        <v>0</v>
      </c>
      <c r="K13" s="5">
        <v>5500000000</v>
      </c>
      <c r="L13" s="5">
        <v>1000000000</v>
      </c>
      <c r="M13" s="5">
        <v>75040000000</v>
      </c>
      <c r="N13" s="5">
        <v>84000000000</v>
      </c>
      <c r="O13" s="5">
        <v>0</v>
      </c>
      <c r="P13" s="5">
        <v>10500000000</v>
      </c>
      <c r="Q13" s="5">
        <v>354700000000</v>
      </c>
      <c r="R13" s="5">
        <v>84000000000</v>
      </c>
      <c r="S13" s="4" t="s">
        <v>69</v>
      </c>
      <c r="T13" s="4" t="s">
        <v>112</v>
      </c>
      <c r="U13" s="4">
        <v>0.125</v>
      </c>
      <c r="V13" s="4">
        <v>9333333333.3333302</v>
      </c>
      <c r="W13" s="4">
        <v>1</v>
      </c>
      <c r="X13" s="6" t="s">
        <v>129</v>
      </c>
      <c r="Y13" s="4"/>
      <c r="Z13" s="16"/>
      <c r="AA13" s="17">
        <f t="shared" si="1"/>
        <v>5000000</v>
      </c>
      <c r="AB13" s="17" t="str">
        <f t="shared" si="2"/>
        <v>ok</v>
      </c>
      <c r="AC13" s="18"/>
      <c r="AD13" s="19">
        <f t="shared" si="3"/>
        <v>5000000</v>
      </c>
      <c r="AE13" s="17">
        <f t="shared" si="4"/>
        <v>68000000000</v>
      </c>
      <c r="AF13" s="24">
        <f>AE13/12-AE13</f>
        <v>-62333333333.333336</v>
      </c>
      <c r="AG13" s="19">
        <f t="shared" si="5"/>
        <v>5666666666.6666641</v>
      </c>
      <c r="AH13" s="17">
        <f t="shared" si="6"/>
        <v>0</v>
      </c>
      <c r="AI13" s="18"/>
      <c r="AJ13" s="19">
        <f t="shared" si="7"/>
        <v>0</v>
      </c>
      <c r="AK13" s="17">
        <f t="shared" si="8"/>
        <v>5500000000</v>
      </c>
      <c r="AL13" s="18"/>
      <c r="AM13" s="19">
        <f t="shared" si="9"/>
        <v>5500000000</v>
      </c>
      <c r="AN13" s="17">
        <f t="shared" si="10"/>
        <v>1000000000</v>
      </c>
      <c r="AO13" s="18"/>
      <c r="AP13" s="19">
        <f t="shared" si="11"/>
        <v>1000000000</v>
      </c>
      <c r="AQ13" s="17">
        <f t="shared" si="12"/>
        <v>84000000000</v>
      </c>
      <c r="AR13" s="18"/>
      <c r="AS13" s="19">
        <f t="shared" si="13"/>
        <v>84000000000</v>
      </c>
      <c r="AT13" s="17">
        <f t="shared" si="14"/>
        <v>0</v>
      </c>
      <c r="AU13" s="18"/>
      <c r="AV13" s="19">
        <f t="shared" si="15"/>
        <v>0</v>
      </c>
      <c r="AW13" s="17">
        <f t="shared" si="16"/>
        <v>84000000000</v>
      </c>
      <c r="AX13" s="17">
        <f t="shared" si="17"/>
        <v>11166666666.666664</v>
      </c>
      <c r="AY13" s="17">
        <f t="shared" si="18"/>
        <v>72833333333.333344</v>
      </c>
      <c r="AZ13" s="20">
        <f t="shared" si="19"/>
        <v>0.8670634920634922</v>
      </c>
      <c r="BA13" s="20" t="str">
        <f t="shared" si="20"/>
        <v>dalam range</v>
      </c>
      <c r="BB13" s="21">
        <v>0.5</v>
      </c>
      <c r="BC13" s="21">
        <v>0.99</v>
      </c>
      <c r="BD13" s="21" t="str">
        <f t="shared" si="21"/>
        <v>Adjustment</v>
      </c>
      <c r="BE13" s="16"/>
      <c r="BF13" s="4"/>
      <c r="BG13" s="22" t="str">
        <f t="shared" si="0"/>
        <v/>
      </c>
      <c r="BH13" s="22">
        <f t="shared" si="22"/>
        <v>5666666666.6666641</v>
      </c>
      <c r="BI13" s="22" t="str">
        <f t="shared" si="23"/>
        <v/>
      </c>
      <c r="BJ13" s="22" t="str">
        <f t="shared" si="24"/>
        <v/>
      </c>
      <c r="BK13" s="22" t="str">
        <f t="shared" si="25"/>
        <v/>
      </c>
      <c r="BL13" s="22" t="str">
        <f t="shared" si="26"/>
        <v/>
      </c>
      <c r="BM13" s="22" t="str">
        <f t="shared" si="27"/>
        <v/>
      </c>
      <c r="BN13" s="23" t="str">
        <f t="shared" si="28"/>
        <v>#0</v>
      </c>
      <c r="BO13" s="23" t="str">
        <f t="shared" si="29"/>
        <v>#3</v>
      </c>
      <c r="BP13" s="23" t="str">
        <f t="shared" si="30"/>
        <v>#0</v>
      </c>
      <c r="BQ13" s="23" t="str">
        <f t="shared" si="31"/>
        <v>#0</v>
      </c>
      <c r="BR13" s="23" t="str">
        <f t="shared" si="32"/>
        <v>#0</v>
      </c>
      <c r="BS13" s="23" t="str">
        <f t="shared" si="33"/>
        <v>#0</v>
      </c>
      <c r="BT13" s="23" t="str">
        <f t="shared" si="34"/>
        <v>#0</v>
      </c>
      <c r="BU13" s="10" t="b">
        <v>1</v>
      </c>
      <c r="BV13" s="10" t="b">
        <v>0</v>
      </c>
    </row>
    <row r="14" spans="1:74" ht="15">
      <c r="A14" s="4" t="s">
        <v>115</v>
      </c>
      <c r="B14" s="4" t="s">
        <v>64</v>
      </c>
      <c r="C14" s="4" t="s">
        <v>65</v>
      </c>
      <c r="D14" s="4" t="s">
        <v>74</v>
      </c>
      <c r="E14" s="4" t="s">
        <v>130</v>
      </c>
      <c r="F14" s="4" t="s">
        <v>131</v>
      </c>
      <c r="G14" s="4">
        <v>49</v>
      </c>
      <c r="H14" s="5">
        <v>14358496555</v>
      </c>
      <c r="I14" s="5">
        <v>50823867969</v>
      </c>
      <c r="J14" s="5">
        <v>0</v>
      </c>
      <c r="K14" s="5">
        <v>5271003122</v>
      </c>
      <c r="L14" s="5">
        <v>5686508807</v>
      </c>
      <c r="M14" s="5">
        <v>76139876453</v>
      </c>
      <c r="N14" s="5">
        <v>82452053398</v>
      </c>
      <c r="O14" s="5">
        <v>10030733435</v>
      </c>
      <c r="P14" s="5">
        <v>26357182307</v>
      </c>
      <c r="Q14" s="5">
        <v>305893387035</v>
      </c>
      <c r="R14" s="5">
        <v>82452053398</v>
      </c>
      <c r="S14" s="4" t="s">
        <v>69</v>
      </c>
      <c r="T14" s="4" t="s">
        <v>112</v>
      </c>
      <c r="U14" s="4">
        <v>0.31966699999999998</v>
      </c>
      <c r="V14" s="4">
        <v>1682694967.3061199</v>
      </c>
      <c r="W14" s="4">
        <v>1</v>
      </c>
      <c r="X14" s="6" t="s">
        <v>132</v>
      </c>
      <c r="Y14" s="4"/>
      <c r="Z14" s="16"/>
      <c r="AA14" s="17">
        <f t="shared" si="1"/>
        <v>24419211.82823129</v>
      </c>
      <c r="AB14" s="17" t="str">
        <f t="shared" si="2"/>
        <v>perbaiki</v>
      </c>
      <c r="AC14" s="24">
        <f>(5*2317601)-AA14</f>
        <v>-12831206.82823129</v>
      </c>
      <c r="AD14" s="19">
        <f t="shared" si="3"/>
        <v>11588005</v>
      </c>
      <c r="AE14" s="17">
        <f t="shared" si="4"/>
        <v>50823867969</v>
      </c>
      <c r="AF14" s="24">
        <f>AE14/12-AE14</f>
        <v>-46588545638.25</v>
      </c>
      <c r="AG14" s="19">
        <f t="shared" si="5"/>
        <v>4235322330.75</v>
      </c>
      <c r="AH14" s="17">
        <f t="shared" si="6"/>
        <v>0</v>
      </c>
      <c r="AI14" s="18"/>
      <c r="AJ14" s="19">
        <f t="shared" si="7"/>
        <v>0</v>
      </c>
      <c r="AK14" s="17">
        <f t="shared" si="8"/>
        <v>5271003122</v>
      </c>
      <c r="AL14" s="18"/>
      <c r="AM14" s="19">
        <f t="shared" si="9"/>
        <v>5271003122</v>
      </c>
      <c r="AN14" s="17">
        <f t="shared" si="10"/>
        <v>5686508807</v>
      </c>
      <c r="AO14" s="18"/>
      <c r="AP14" s="19">
        <f t="shared" si="11"/>
        <v>5686508807</v>
      </c>
      <c r="AQ14" s="17">
        <f t="shared" si="12"/>
        <v>82452053398</v>
      </c>
      <c r="AR14" s="18"/>
      <c r="AS14" s="19">
        <f t="shared" si="13"/>
        <v>82452053398</v>
      </c>
      <c r="AT14" s="17">
        <f t="shared" si="14"/>
        <v>10030733435</v>
      </c>
      <c r="AU14" s="18"/>
      <c r="AV14" s="19">
        <f t="shared" si="15"/>
        <v>10030733435</v>
      </c>
      <c r="AW14" s="17">
        <f t="shared" si="16"/>
        <v>82452053398</v>
      </c>
      <c r="AX14" s="17">
        <f t="shared" si="17"/>
        <v>9506325452.75</v>
      </c>
      <c r="AY14" s="17">
        <f t="shared" si="18"/>
        <v>72945727945.25</v>
      </c>
      <c r="AZ14" s="20">
        <f t="shared" si="19"/>
        <v>0.88470480647871175</v>
      </c>
      <c r="BA14" s="20" t="str">
        <f t="shared" si="20"/>
        <v>dalam range</v>
      </c>
      <c r="BB14" s="21">
        <v>0.5</v>
      </c>
      <c r="BC14" s="21">
        <v>0.99</v>
      </c>
      <c r="BD14" s="21" t="str">
        <f t="shared" si="21"/>
        <v>Adjustment</v>
      </c>
      <c r="BE14" s="16"/>
      <c r="BF14" s="4"/>
      <c r="BG14" s="22">
        <f t="shared" si="0"/>
        <v>6813746940</v>
      </c>
      <c r="BH14" s="22">
        <f t="shared" si="22"/>
        <v>4235322330.75</v>
      </c>
      <c r="BI14" s="22" t="str">
        <f t="shared" si="23"/>
        <v/>
      </c>
      <c r="BJ14" s="22" t="str">
        <f t="shared" si="24"/>
        <v/>
      </c>
      <c r="BK14" s="22" t="str">
        <f t="shared" si="25"/>
        <v/>
      </c>
      <c r="BL14" s="22" t="str">
        <f t="shared" si="26"/>
        <v/>
      </c>
      <c r="BM14" s="22" t="str">
        <f t="shared" si="27"/>
        <v/>
      </c>
      <c r="BN14" s="23" t="str">
        <f t="shared" si="28"/>
        <v>#3</v>
      </c>
      <c r="BO14" s="23" t="str">
        <f t="shared" si="29"/>
        <v>#3</v>
      </c>
      <c r="BP14" s="23" t="str">
        <f t="shared" si="30"/>
        <v>#0</v>
      </c>
      <c r="BQ14" s="23" t="str">
        <f t="shared" si="31"/>
        <v>#0</v>
      </c>
      <c r="BR14" s="23" t="str">
        <f t="shared" si="32"/>
        <v>#0</v>
      </c>
      <c r="BS14" s="23" t="str">
        <f t="shared" si="33"/>
        <v>#0</v>
      </c>
      <c r="BT14" s="23" t="str">
        <f t="shared" si="34"/>
        <v>#0</v>
      </c>
      <c r="BU14" s="10" t="b">
        <v>1</v>
      </c>
      <c r="BV14" s="10" t="b">
        <v>0</v>
      </c>
    </row>
    <row r="15" spans="1:74" ht="15">
      <c r="A15" s="4" t="s">
        <v>133</v>
      </c>
      <c r="B15" s="4" t="s">
        <v>64</v>
      </c>
      <c r="C15" s="4" t="s">
        <v>134</v>
      </c>
      <c r="D15" s="4" t="s">
        <v>109</v>
      </c>
      <c r="E15" s="4" t="s">
        <v>135</v>
      </c>
      <c r="F15" s="4" t="s">
        <v>136</v>
      </c>
      <c r="G15" s="4">
        <v>11</v>
      </c>
      <c r="H15" s="5">
        <v>550000000</v>
      </c>
      <c r="I15" s="5">
        <v>500000000000</v>
      </c>
      <c r="J15" s="5">
        <v>0</v>
      </c>
      <c r="K15" s="5">
        <v>900000000</v>
      </c>
      <c r="L15" s="5">
        <v>5000000000</v>
      </c>
      <c r="M15" s="5">
        <v>506450000000</v>
      </c>
      <c r="N15" s="5">
        <v>1000000000000</v>
      </c>
      <c r="O15" s="5">
        <v>0</v>
      </c>
      <c r="P15" s="5">
        <v>499100000000</v>
      </c>
      <c r="Q15" s="5">
        <v>595000000000</v>
      </c>
      <c r="R15" s="5">
        <v>1000000000000</v>
      </c>
      <c r="S15" s="4" t="s">
        <v>69</v>
      </c>
      <c r="T15" s="4" t="s">
        <v>112</v>
      </c>
      <c r="U15" s="4">
        <v>0.49909999999999999</v>
      </c>
      <c r="V15" s="4">
        <v>90909090909.090897</v>
      </c>
      <c r="W15" s="4">
        <v>1</v>
      </c>
      <c r="X15" s="6" t="s">
        <v>137</v>
      </c>
      <c r="Y15" s="4" t="s">
        <v>138</v>
      </c>
      <c r="Z15" s="16"/>
      <c r="AA15" s="17">
        <f t="shared" si="1"/>
        <v>4166666.666666667</v>
      </c>
      <c r="AB15" s="17" t="str">
        <f t="shared" si="2"/>
        <v>ok</v>
      </c>
      <c r="AC15" s="18"/>
      <c r="AD15" s="19">
        <f t="shared" si="3"/>
        <v>4166666.666666667</v>
      </c>
      <c r="AE15" s="17">
        <f t="shared" si="4"/>
        <v>500000000000</v>
      </c>
      <c r="AF15" s="18"/>
      <c r="AG15" s="19">
        <f t="shared" si="5"/>
        <v>500000000000</v>
      </c>
      <c r="AH15" s="17">
        <f t="shared" si="6"/>
        <v>0</v>
      </c>
      <c r="AI15" s="18"/>
      <c r="AJ15" s="19">
        <f t="shared" si="7"/>
        <v>0</v>
      </c>
      <c r="AK15" s="17">
        <f t="shared" si="8"/>
        <v>900000000</v>
      </c>
      <c r="AL15" s="18"/>
      <c r="AM15" s="19">
        <f t="shared" si="9"/>
        <v>900000000</v>
      </c>
      <c r="AN15" s="17">
        <f t="shared" si="10"/>
        <v>5000000000</v>
      </c>
      <c r="AO15" s="18"/>
      <c r="AP15" s="19">
        <f t="shared" si="11"/>
        <v>5000000000</v>
      </c>
      <c r="AQ15" s="17">
        <f t="shared" si="12"/>
        <v>1000000000000</v>
      </c>
      <c r="AR15" s="18"/>
      <c r="AS15" s="19">
        <f t="shared" si="13"/>
        <v>1000000000000</v>
      </c>
      <c r="AT15" s="17">
        <f t="shared" si="14"/>
        <v>0</v>
      </c>
      <c r="AU15" s="18"/>
      <c r="AV15" s="19">
        <f t="shared" si="15"/>
        <v>0</v>
      </c>
      <c r="AW15" s="17">
        <f t="shared" si="16"/>
        <v>1000000000000</v>
      </c>
      <c r="AX15" s="17">
        <f t="shared" si="17"/>
        <v>500900000000</v>
      </c>
      <c r="AY15" s="17">
        <f t="shared" si="18"/>
        <v>499100000000</v>
      </c>
      <c r="AZ15" s="20">
        <f t="shared" si="19"/>
        <v>0.49909999999999999</v>
      </c>
      <c r="BA15" s="20" t="str">
        <f t="shared" si="20"/>
        <v>dalam range</v>
      </c>
      <c r="BB15" s="21">
        <v>0.5</v>
      </c>
      <c r="BC15" s="21">
        <v>0.99</v>
      </c>
      <c r="BD15" s="21" t="str">
        <f t="shared" si="21"/>
        <v>#0</v>
      </c>
      <c r="BE15" s="16"/>
      <c r="BF15" s="4"/>
      <c r="BG15" s="22" t="str">
        <f t="shared" si="0"/>
        <v/>
      </c>
      <c r="BH15" s="22" t="str">
        <f t="shared" si="22"/>
        <v/>
      </c>
      <c r="BI15" s="22" t="str">
        <f t="shared" si="23"/>
        <v/>
      </c>
      <c r="BJ15" s="22" t="str">
        <f t="shared" si="24"/>
        <v/>
      </c>
      <c r="BK15" s="22" t="str">
        <f t="shared" si="25"/>
        <v/>
      </c>
      <c r="BL15" s="22" t="str">
        <f t="shared" si="26"/>
        <v/>
      </c>
      <c r="BM15" s="22" t="str">
        <f t="shared" si="27"/>
        <v/>
      </c>
      <c r="BN15" s="23" t="str">
        <f t="shared" si="28"/>
        <v>#0</v>
      </c>
      <c r="BO15" s="23" t="str">
        <f t="shared" si="29"/>
        <v>#0</v>
      </c>
      <c r="BP15" s="23" t="str">
        <f t="shared" si="30"/>
        <v>#0</v>
      </c>
      <c r="BQ15" s="23" t="str">
        <f t="shared" si="31"/>
        <v>#0</v>
      </c>
      <c r="BR15" s="23" t="str">
        <f t="shared" si="32"/>
        <v>#0</v>
      </c>
      <c r="BS15" s="23" t="str">
        <f t="shared" si="33"/>
        <v>#0</v>
      </c>
      <c r="BT15" s="23" t="str">
        <f t="shared" si="34"/>
        <v>#0</v>
      </c>
      <c r="BU15" s="10" t="b">
        <v>1</v>
      </c>
      <c r="BV15" s="10" t="b">
        <v>0</v>
      </c>
    </row>
    <row r="16" spans="1:74" ht="15">
      <c r="A16" s="4" t="s">
        <v>72</v>
      </c>
      <c r="B16" s="4" t="s">
        <v>64</v>
      </c>
      <c r="C16" s="4" t="s">
        <v>73</v>
      </c>
      <c r="D16" s="4" t="s">
        <v>139</v>
      </c>
      <c r="E16" s="4" t="s">
        <v>140</v>
      </c>
      <c r="F16" s="4" t="s">
        <v>141</v>
      </c>
      <c r="G16" s="4">
        <v>185</v>
      </c>
      <c r="H16" s="5">
        <v>20521991383</v>
      </c>
      <c r="I16" s="5">
        <v>486161881644</v>
      </c>
      <c r="J16" s="5">
        <v>0</v>
      </c>
      <c r="K16" s="5">
        <v>733509579</v>
      </c>
      <c r="L16" s="5">
        <v>0</v>
      </c>
      <c r="M16" s="5">
        <v>507417382606</v>
      </c>
      <c r="N16" s="5">
        <v>840065366275</v>
      </c>
      <c r="O16" s="5">
        <v>40890313</v>
      </c>
      <c r="P16" s="5">
        <v>353169975052</v>
      </c>
      <c r="Q16" s="5">
        <v>129139943348</v>
      </c>
      <c r="R16" s="5">
        <v>840065366275</v>
      </c>
      <c r="S16" s="4" t="s">
        <v>69</v>
      </c>
      <c r="T16" s="4" t="s">
        <v>112</v>
      </c>
      <c r="U16" s="4">
        <v>0.420408</v>
      </c>
      <c r="V16" s="4">
        <v>4540893871.7567501</v>
      </c>
      <c r="W16" s="4">
        <v>1</v>
      </c>
      <c r="X16" s="6" t="s">
        <v>142</v>
      </c>
      <c r="Y16" s="4" t="s">
        <v>143</v>
      </c>
      <c r="Z16" s="16"/>
      <c r="AA16" s="17">
        <f t="shared" si="1"/>
        <v>9244140.2626126129</v>
      </c>
      <c r="AB16" s="17" t="str">
        <f t="shared" si="2"/>
        <v>ok</v>
      </c>
      <c r="AC16" s="18"/>
      <c r="AD16" s="19">
        <f t="shared" si="3"/>
        <v>9244140.2626126129</v>
      </c>
      <c r="AE16" s="17">
        <f t="shared" si="4"/>
        <v>486161881644</v>
      </c>
      <c r="AF16" s="24">
        <f>AE16/3-AE16</f>
        <v>-324107921096</v>
      </c>
      <c r="AG16" s="19">
        <f t="shared" si="5"/>
        <v>162053960548</v>
      </c>
      <c r="AH16" s="17">
        <f t="shared" si="6"/>
        <v>0</v>
      </c>
      <c r="AI16" s="18"/>
      <c r="AJ16" s="19">
        <f t="shared" si="7"/>
        <v>0</v>
      </c>
      <c r="AK16" s="17">
        <f t="shared" si="8"/>
        <v>733509579</v>
      </c>
      <c r="AL16" s="18"/>
      <c r="AM16" s="19">
        <f t="shared" si="9"/>
        <v>733509579</v>
      </c>
      <c r="AN16" s="17">
        <f t="shared" si="10"/>
        <v>0</v>
      </c>
      <c r="AO16" s="18"/>
      <c r="AP16" s="19">
        <f t="shared" si="11"/>
        <v>0</v>
      </c>
      <c r="AQ16" s="17">
        <f t="shared" si="12"/>
        <v>840065366275</v>
      </c>
      <c r="AR16" s="24">
        <f>AT16</f>
        <v>40890313</v>
      </c>
      <c r="AS16" s="19">
        <f t="shared" si="13"/>
        <v>840106256588</v>
      </c>
      <c r="AT16" s="17">
        <f t="shared" si="14"/>
        <v>40890313</v>
      </c>
      <c r="AU16" s="18"/>
      <c r="AV16" s="19">
        <f t="shared" si="15"/>
        <v>40890313</v>
      </c>
      <c r="AW16" s="17">
        <f t="shared" si="16"/>
        <v>840106256588</v>
      </c>
      <c r="AX16" s="17">
        <f t="shared" si="17"/>
        <v>162787470127</v>
      </c>
      <c r="AY16" s="17">
        <f t="shared" si="18"/>
        <v>677318786461</v>
      </c>
      <c r="AZ16" s="20">
        <f t="shared" si="19"/>
        <v>0.80622990383604143</v>
      </c>
      <c r="BA16" s="20" t="str">
        <f t="shared" si="20"/>
        <v>dalam range</v>
      </c>
      <c r="BB16" s="21">
        <v>0.5</v>
      </c>
      <c r="BC16" s="21">
        <v>0.99</v>
      </c>
      <c r="BD16" s="21" t="str">
        <f t="shared" si="21"/>
        <v>Adjustment</v>
      </c>
      <c r="BE16" s="16"/>
      <c r="BF16" s="4"/>
      <c r="BG16" s="22" t="str">
        <f t="shared" si="0"/>
        <v/>
      </c>
      <c r="BH16" s="22">
        <f t="shared" si="22"/>
        <v>162053960548</v>
      </c>
      <c r="BI16" s="22" t="str">
        <f t="shared" si="23"/>
        <v/>
      </c>
      <c r="BJ16" s="22" t="str">
        <f t="shared" si="24"/>
        <v/>
      </c>
      <c r="BK16" s="22" t="str">
        <f t="shared" si="25"/>
        <v/>
      </c>
      <c r="BL16" s="22">
        <f t="shared" si="26"/>
        <v>840106256588</v>
      </c>
      <c r="BM16" s="22" t="str">
        <f t="shared" si="27"/>
        <v/>
      </c>
      <c r="BN16" s="23" t="str">
        <f t="shared" si="28"/>
        <v>#0</v>
      </c>
      <c r="BO16" s="23" t="str">
        <f t="shared" si="29"/>
        <v>#3</v>
      </c>
      <c r="BP16" s="23" t="str">
        <f t="shared" si="30"/>
        <v>#0</v>
      </c>
      <c r="BQ16" s="23" t="str">
        <f t="shared" si="31"/>
        <v>#0</v>
      </c>
      <c r="BR16" s="23" t="str">
        <f t="shared" si="32"/>
        <v>#0</v>
      </c>
      <c r="BS16" s="23" t="str">
        <f t="shared" si="33"/>
        <v>#3</v>
      </c>
      <c r="BT16" s="23" t="str">
        <f t="shared" si="34"/>
        <v>#0</v>
      </c>
      <c r="BU16" s="10" t="b">
        <v>1</v>
      </c>
      <c r="BV16" s="10" t="b">
        <v>0</v>
      </c>
    </row>
    <row r="17" spans="1:74" ht="15">
      <c r="A17" s="4" t="s">
        <v>63</v>
      </c>
      <c r="B17" s="4" t="s">
        <v>64</v>
      </c>
      <c r="C17" s="4" t="s">
        <v>65</v>
      </c>
      <c r="D17" s="4" t="s">
        <v>139</v>
      </c>
      <c r="E17" s="4" t="s">
        <v>144</v>
      </c>
      <c r="F17" s="4" t="s">
        <v>145</v>
      </c>
      <c r="G17" s="4">
        <v>15</v>
      </c>
      <c r="H17" s="5">
        <v>100000000000</v>
      </c>
      <c r="I17" s="5">
        <v>0</v>
      </c>
      <c r="J17" s="5">
        <v>0</v>
      </c>
      <c r="K17" s="5">
        <v>500000000000</v>
      </c>
      <c r="L17" s="5">
        <v>0</v>
      </c>
      <c r="M17" s="5">
        <v>600000000000</v>
      </c>
      <c r="N17" s="5">
        <v>600000000000</v>
      </c>
      <c r="O17" s="5">
        <v>0</v>
      </c>
      <c r="P17" s="5">
        <v>100000000000</v>
      </c>
      <c r="Q17" s="5">
        <v>10000000000</v>
      </c>
      <c r="R17" s="5">
        <v>600000000000</v>
      </c>
      <c r="S17" s="4" t="s">
        <v>69</v>
      </c>
      <c r="T17" s="4"/>
      <c r="U17" s="4">
        <v>0.16666700000000001</v>
      </c>
      <c r="V17" s="4">
        <v>40000000000</v>
      </c>
      <c r="W17" s="4">
        <v>1</v>
      </c>
      <c r="X17" s="6" t="s">
        <v>146</v>
      </c>
      <c r="Y17" s="4" t="s">
        <v>147</v>
      </c>
      <c r="Z17" s="16"/>
      <c r="AA17" s="17">
        <f t="shared" si="1"/>
        <v>555555555.55555558</v>
      </c>
      <c r="AB17" s="17" t="str">
        <f t="shared" si="2"/>
        <v>perbaiki</v>
      </c>
      <c r="AC17" s="24">
        <f>5555556-AA17</f>
        <v>-549999999.55555558</v>
      </c>
      <c r="AD17" s="19">
        <f t="shared" si="3"/>
        <v>5555556</v>
      </c>
      <c r="AE17" s="17">
        <f t="shared" si="4"/>
        <v>0</v>
      </c>
      <c r="AF17" s="18"/>
      <c r="AG17" s="19">
        <f t="shared" si="5"/>
        <v>0</v>
      </c>
      <c r="AH17" s="17">
        <f t="shared" si="6"/>
        <v>0</v>
      </c>
      <c r="AI17" s="18"/>
      <c r="AJ17" s="19">
        <f t="shared" si="7"/>
        <v>0</v>
      </c>
      <c r="AK17" s="17">
        <f t="shared" si="8"/>
        <v>500000000000</v>
      </c>
      <c r="AL17" s="24">
        <f>AK17/12-AK17</f>
        <v>-458333333333.33331</v>
      </c>
      <c r="AM17" s="19">
        <f t="shared" si="9"/>
        <v>41666666666.666687</v>
      </c>
      <c r="AN17" s="17">
        <f t="shared" si="10"/>
        <v>0</v>
      </c>
      <c r="AO17" s="18"/>
      <c r="AP17" s="19">
        <f t="shared" si="11"/>
        <v>0</v>
      </c>
      <c r="AQ17" s="17">
        <f t="shared" si="12"/>
        <v>600000000000</v>
      </c>
      <c r="AR17" s="18"/>
      <c r="AS17" s="19">
        <f t="shared" si="13"/>
        <v>600000000000</v>
      </c>
      <c r="AT17" s="17">
        <f t="shared" si="14"/>
        <v>0</v>
      </c>
      <c r="AU17" s="18"/>
      <c r="AV17" s="19">
        <f t="shared" si="15"/>
        <v>0</v>
      </c>
      <c r="AW17" s="17">
        <f t="shared" si="16"/>
        <v>600000000000</v>
      </c>
      <c r="AX17" s="17">
        <f t="shared" si="17"/>
        <v>41666666666.666687</v>
      </c>
      <c r="AY17" s="17">
        <f t="shared" si="18"/>
        <v>558333333333.33325</v>
      </c>
      <c r="AZ17" s="20">
        <f t="shared" si="19"/>
        <v>0.93055555555555547</v>
      </c>
      <c r="BA17" s="20" t="str">
        <f t="shared" si="20"/>
        <v>dalam range</v>
      </c>
      <c r="BB17" s="21">
        <v>0.5</v>
      </c>
      <c r="BC17" s="21">
        <v>0.99</v>
      </c>
      <c r="BD17" s="21" t="str">
        <f t="shared" si="21"/>
        <v>Adjustment</v>
      </c>
      <c r="BE17" s="16"/>
      <c r="BF17" s="4"/>
      <c r="BG17" s="22">
        <f t="shared" si="0"/>
        <v>1000000080</v>
      </c>
      <c r="BH17" s="22" t="str">
        <f t="shared" si="22"/>
        <v/>
      </c>
      <c r="BI17" s="22" t="str">
        <f t="shared" si="23"/>
        <v/>
      </c>
      <c r="BJ17" s="22">
        <f t="shared" si="24"/>
        <v>41666666666.666687</v>
      </c>
      <c r="BK17" s="22" t="str">
        <f t="shared" si="25"/>
        <v/>
      </c>
      <c r="BL17" s="22" t="str">
        <f t="shared" si="26"/>
        <v/>
      </c>
      <c r="BM17" s="22" t="str">
        <f t="shared" si="27"/>
        <v/>
      </c>
      <c r="BN17" s="23" t="str">
        <f t="shared" si="28"/>
        <v>#3</v>
      </c>
      <c r="BO17" s="23" t="str">
        <f t="shared" si="29"/>
        <v>#0</v>
      </c>
      <c r="BP17" s="23" t="str">
        <f t="shared" si="30"/>
        <v>#0</v>
      </c>
      <c r="BQ17" s="23" t="str">
        <f t="shared" si="31"/>
        <v>#3</v>
      </c>
      <c r="BR17" s="23" t="str">
        <f t="shared" si="32"/>
        <v>#0</v>
      </c>
      <c r="BS17" s="23" t="str">
        <f t="shared" si="33"/>
        <v>#0</v>
      </c>
      <c r="BT17" s="23" t="str">
        <f t="shared" si="34"/>
        <v>#0</v>
      </c>
      <c r="BU17" s="10" t="b">
        <v>1</v>
      </c>
      <c r="BV17" s="10" t="b">
        <v>0</v>
      </c>
    </row>
    <row r="18" spans="1:74" ht="15">
      <c r="A18" s="4" t="s">
        <v>72</v>
      </c>
      <c r="B18" s="4" t="s">
        <v>64</v>
      </c>
      <c r="C18" s="4" t="s">
        <v>148</v>
      </c>
      <c r="D18" s="4" t="s">
        <v>109</v>
      </c>
      <c r="E18" s="4" t="s">
        <v>149</v>
      </c>
      <c r="F18" s="4" t="s">
        <v>150</v>
      </c>
      <c r="G18" s="4">
        <v>145</v>
      </c>
      <c r="H18" s="5">
        <v>30987816487</v>
      </c>
      <c r="I18" s="5">
        <v>142204288326</v>
      </c>
      <c r="J18" s="5">
        <v>0</v>
      </c>
      <c r="K18" s="5">
        <v>9363947525</v>
      </c>
      <c r="L18" s="5">
        <v>2389174693</v>
      </c>
      <c r="M18" s="5">
        <v>184945227031</v>
      </c>
      <c r="N18" s="5">
        <v>219489109439</v>
      </c>
      <c r="O18" s="5">
        <v>3639422389</v>
      </c>
      <c r="P18" s="5">
        <v>67920873588</v>
      </c>
      <c r="Q18" s="5">
        <v>193803986486</v>
      </c>
      <c r="R18" s="5">
        <v>219489109439</v>
      </c>
      <c r="S18" s="4" t="s">
        <v>69</v>
      </c>
      <c r="T18" s="4"/>
      <c r="U18" s="4">
        <v>0.30945</v>
      </c>
      <c r="V18" s="4">
        <v>1513717996.1310301</v>
      </c>
      <c r="W18" s="4">
        <v>1</v>
      </c>
      <c r="X18" s="6" t="s">
        <v>151</v>
      </c>
      <c r="Y18" s="4" t="s">
        <v>152</v>
      </c>
      <c r="Z18" s="16"/>
      <c r="AA18" s="17">
        <f t="shared" si="1"/>
        <v>17809089.935057472</v>
      </c>
      <c r="AB18" s="17" t="str">
        <f t="shared" si="2"/>
        <v>perbaiki</v>
      </c>
      <c r="AC18" s="24">
        <f>(4*2317601)-AA18</f>
        <v>-8538685.9350574724</v>
      </c>
      <c r="AD18" s="19">
        <f t="shared" si="3"/>
        <v>9270404</v>
      </c>
      <c r="AE18" s="17">
        <f t="shared" si="4"/>
        <v>142204288326</v>
      </c>
      <c r="AF18" s="24">
        <f>AE18/12-AE18</f>
        <v>-130353930965.5</v>
      </c>
      <c r="AG18" s="19">
        <f t="shared" si="5"/>
        <v>11850357360.5</v>
      </c>
      <c r="AH18" s="17">
        <f t="shared" si="6"/>
        <v>0</v>
      </c>
      <c r="AI18" s="18"/>
      <c r="AJ18" s="19">
        <f t="shared" si="7"/>
        <v>0</v>
      </c>
      <c r="AK18" s="17">
        <f t="shared" si="8"/>
        <v>9363947525</v>
      </c>
      <c r="AL18" s="18"/>
      <c r="AM18" s="19">
        <f t="shared" si="9"/>
        <v>9363947525</v>
      </c>
      <c r="AN18" s="17">
        <f t="shared" si="10"/>
        <v>2389174693</v>
      </c>
      <c r="AO18" s="18"/>
      <c r="AP18" s="19">
        <f t="shared" si="11"/>
        <v>2389174693</v>
      </c>
      <c r="AQ18" s="17">
        <f t="shared" si="12"/>
        <v>219489109439</v>
      </c>
      <c r="AR18" s="18"/>
      <c r="AS18" s="19">
        <f t="shared" si="13"/>
        <v>219489109439</v>
      </c>
      <c r="AT18" s="17">
        <f t="shared" si="14"/>
        <v>3639422389</v>
      </c>
      <c r="AU18" s="18"/>
      <c r="AV18" s="19">
        <f t="shared" si="15"/>
        <v>3639422389</v>
      </c>
      <c r="AW18" s="17">
        <f t="shared" si="16"/>
        <v>219489109439</v>
      </c>
      <c r="AX18" s="17">
        <f t="shared" si="17"/>
        <v>21214304885.5</v>
      </c>
      <c r="AY18" s="17">
        <f t="shared" si="18"/>
        <v>198274804553.5</v>
      </c>
      <c r="AZ18" s="20">
        <f t="shared" si="19"/>
        <v>0.90334689069666196</v>
      </c>
      <c r="BA18" s="20" t="str">
        <f t="shared" si="20"/>
        <v>dalam range</v>
      </c>
      <c r="BB18" s="21">
        <v>0.5</v>
      </c>
      <c r="BC18" s="21">
        <v>0.99</v>
      </c>
      <c r="BD18" s="21" t="str">
        <f t="shared" si="21"/>
        <v>Adjustment</v>
      </c>
      <c r="BE18" s="16"/>
      <c r="BF18" s="4"/>
      <c r="BG18" s="22">
        <f t="shared" si="0"/>
        <v>16130502960</v>
      </c>
      <c r="BH18" s="22">
        <f t="shared" si="22"/>
        <v>11850357360.5</v>
      </c>
      <c r="BI18" s="22" t="str">
        <f t="shared" si="23"/>
        <v/>
      </c>
      <c r="BJ18" s="22" t="str">
        <f t="shared" si="24"/>
        <v/>
      </c>
      <c r="BK18" s="22" t="str">
        <f t="shared" si="25"/>
        <v/>
      </c>
      <c r="BL18" s="22" t="str">
        <f t="shared" si="26"/>
        <v/>
      </c>
      <c r="BM18" s="22" t="str">
        <f t="shared" si="27"/>
        <v/>
      </c>
      <c r="BN18" s="23" t="str">
        <f t="shared" si="28"/>
        <v>#3</v>
      </c>
      <c r="BO18" s="23" t="str">
        <f t="shared" si="29"/>
        <v>#3</v>
      </c>
      <c r="BP18" s="23" t="str">
        <f t="shared" si="30"/>
        <v>#0</v>
      </c>
      <c r="BQ18" s="23" t="str">
        <f t="shared" si="31"/>
        <v>#0</v>
      </c>
      <c r="BR18" s="23" t="str">
        <f t="shared" si="32"/>
        <v>#0</v>
      </c>
      <c r="BS18" s="23" t="str">
        <f t="shared" si="33"/>
        <v>#0</v>
      </c>
      <c r="BT18" s="23" t="str">
        <f t="shared" si="34"/>
        <v>#0</v>
      </c>
      <c r="BU18" s="10" t="b">
        <v>1</v>
      </c>
      <c r="BV18" s="10" t="b">
        <v>0</v>
      </c>
    </row>
  </sheetData>
  <conditionalFormatting sqref="BN2:BT2">
    <cfRule type="cellIs" dxfId="2" priority="3" operator="equal">
      <formula>"#3"</formula>
    </cfRule>
  </conditionalFormatting>
  <conditionalFormatting sqref="BA2:BA18">
    <cfRule type="cellIs" dxfId="1" priority="2" operator="equal">
      <formula>"dalam range"</formula>
    </cfRule>
  </conditionalFormatting>
  <conditionalFormatting sqref="BN3:BT18">
    <cfRule type="cellIs" dxfId="0" priority="1" operator="equal">
      <formula>"#3"</formula>
    </cfRule>
  </conditionalFormatting>
  <dataValidations count="1">
    <dataValidation type="list" allowBlank="1" showInputMessage="1" showErrorMessage="1" sqref="BN2:BT18" xr:uid="{ED94B875-6C9A-4153-8B17-FF373CDE5E8B}">
      <formula1>"#0,#3"</formula1>
    </dataValidation>
  </dataValidation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BPS3200_38</dc:creator>
  <cp:keywords/>
  <dc:description/>
  <cp:lastModifiedBy>Marisa Intan</cp:lastModifiedBy>
  <cp:revision/>
  <dcterms:created xsi:type="dcterms:W3CDTF">2026-10-16T03:24:34Z</dcterms:created>
  <dcterms:modified xsi:type="dcterms:W3CDTF">2026-10-20T03:35:34Z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3552FFAA45E0484BBF51A537B8A0752C_11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