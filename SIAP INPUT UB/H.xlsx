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O:\SE2026\2026\Cleaning\2. Kategori G - L\"/>
    </mc:Choice>
  </mc:AlternateContent>
  <bookViews>
    <workbookView xWindow="0" yWindow="0" windowWidth="19200" windowHeight="7305"/>
  </bookViews>
  <sheets>
    <sheet name="Sheet1" sheetId="4" r:id="rId1"/>
  </sheets>
  <definedNames>
    <definedName name="_xlnm._FilterDatabase" localSheetId="0" hidden="1">Sheet1!$A$1:$AQ$67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4" i="4" l="1"/>
  <c r="AD44" i="4" s="1"/>
  <c r="AB43" i="4"/>
  <c r="AB42" i="4"/>
  <c r="AB41" i="4"/>
  <c r="AD41" i="4" s="1"/>
  <c r="AB40" i="4"/>
  <c r="AB39" i="4"/>
  <c r="AB38" i="4"/>
  <c r="AD38" i="4" s="1"/>
  <c r="AB37" i="4"/>
  <c r="AB36" i="4"/>
  <c r="AB35" i="4"/>
  <c r="AD35" i="4" s="1"/>
  <c r="AB34" i="4"/>
  <c r="AD36" i="4" l="1"/>
  <c r="AD39" i="4"/>
  <c r="AD42" i="4"/>
  <c r="AD37" i="4"/>
  <c r="AD34" i="4"/>
  <c r="AD40" i="4"/>
  <c r="AD43" i="4"/>
</calcChain>
</file>

<file path=xl/sharedStrings.xml><?xml version="1.0" encoding="utf-8"?>
<sst xmlns="http://schemas.openxmlformats.org/spreadsheetml/2006/main" count="1077" uniqueCount="347">
  <si>
    <t>level_2_full_code</t>
  </si>
  <si>
    <t>kategori</t>
  </si>
  <si>
    <t>kode_kbli</t>
  </si>
  <si>
    <t>tahun_operasi</t>
  </si>
  <si>
    <t>nama_usaha</t>
  </si>
  <si>
    <t>keg_utama</t>
  </si>
  <si>
    <t>metrik_tenaga_kerja</t>
  </si>
  <si>
    <t>metrik_upah_gaji</t>
  </si>
  <si>
    <t>metrik_biaya_produksi</t>
  </si>
  <si>
    <t>metrik_biaya_pembelian</t>
  </si>
  <si>
    <t>metrik_biaya_operasional</t>
  </si>
  <si>
    <t>metrik_biaya_non_operasional</t>
  </si>
  <si>
    <t>metrik_total_pengeluaran</t>
  </si>
  <si>
    <t>metrik_pendapatan_barang_jasa</t>
  </si>
  <si>
    <t>metrik_pendapatan_lainnya</t>
  </si>
  <si>
    <t>metrik_nilai_tambah</t>
  </si>
  <si>
    <t>metrik_total_aset</t>
  </si>
  <si>
    <t>metrik_output</t>
  </si>
  <si>
    <t>reklasifikasi_skala_usaha</t>
  </si>
  <si>
    <t>skala_usaha_prelist</t>
  </si>
  <si>
    <t>rasio_ntb</t>
  </si>
  <si>
    <t>produktivitas</t>
  </si>
  <si>
    <t>flag_rasio_3_ntb_output</t>
  </si>
  <si>
    <t>link_fasih_sm</t>
  </si>
  <si>
    <t>catatan</t>
  </si>
  <si>
    <t>KBLI (menjadi)</t>
  </si>
  <si>
    <t>metrik_upah_gaji (menjadi)</t>
  </si>
  <si>
    <t>metrik_biaya_produksin (mejadi)</t>
  </si>
  <si>
    <t>metrik_biaya_pembelian (menjadi)</t>
  </si>
  <si>
    <t>metrik_biaya_operasional (menjadi)</t>
  </si>
  <si>
    <t>metrik_biaya_non_operasional (menjadi)</t>
  </si>
  <si>
    <t>metrik_pendapatan_barang_jasa (menjadi)</t>
  </si>
  <si>
    <t>metrik_pendapatan_lainnya (menjadi)</t>
  </si>
  <si>
    <t>metrik_upah_gaji (Remark)</t>
  </si>
  <si>
    <t>metrik_biaya_produksin (Remark)</t>
  </si>
  <si>
    <t>metrik_biaya_pembelian (Remark)</t>
  </si>
  <si>
    <t>metrik_biaya_operasional (Remark)</t>
  </si>
  <si>
    <t>metrik_biaya_non_operasional (Remark)</t>
  </si>
  <si>
    <t>metrik_pendapatan_barang_jasa (Remark)</t>
  </si>
  <si>
    <t>metrik_pendapatan_lainnya (Remark)</t>
  </si>
  <si>
    <t>Siap Input</t>
  </si>
  <si>
    <t>Sudah Diinput</t>
  </si>
  <si>
    <t>3276</t>
  </si>
  <si>
    <t>H</t>
  </si>
  <si>
    <t>53200</t>
  </si>
  <si>
    <t>2019</t>
  </si>
  <si>
    <t>USAHA SUHERMAN</t>
  </si>
  <si>
    <t xml:space="preserve">JASA EKSPEDISI </t>
  </si>
  <si>
    <t>UB</t>
  </si>
  <si>
    <t>https://fasih-sm.bps.go.id/app/assignment/fd68e454-ba45-4b85-8205-f3bf777ded24/82b1dec7-4501-4b89-ae8e-9f4f87a47efb</t>
  </si>
  <si>
    <t>49231</t>
  </si>
  <si>
    <t>2003</t>
  </si>
  <si>
    <t>TRISTAR TRANSINDO, PT</t>
  </si>
  <si>
    <t>ANGKUTAN BERMOTOR BARANG UMUM DAN ANGKUTAN BERMOTOR BARANG KHUSUS</t>
  </si>
  <si>
    <t>https://fasih-sm.bps.go.id/app/assignment/fd68e454-ba45-4b85-8205-f3bf777ded24/c055a82d-c9c2-4055-a812-3fdac90be04a</t>
  </si>
  <si>
    <t>-</t>
  </si>
  <si>
    <t>3273</t>
  </si>
  <si>
    <t>53309</t>
  </si>
  <si>
    <t>2026</t>
  </si>
  <si>
    <t>JNT PARAKAN SAAT</t>
  </si>
  <si>
    <t xml:space="preserve">Menyediakan jasa pengiriman barang </t>
  </si>
  <si>
    <t>https://fasih-sm.bps.go.id/app/assignment/fd68e454-ba45-4b85-8205-f3bf777ded24/cba449e7-583b-44dd-bbb8-4d2e16f103e6</t>
  </si>
  <si>
    <t xml:space="preserve">RESPONDEN TELAH MEMBERIKAN DATA YANG CUKUP LENGKAP </t>
  </si>
  <si>
    <t>3216</t>
  </si>
  <si>
    <t>2022</t>
  </si>
  <si>
    <t xml:space="preserve">TRIADI BERSAMA PT </t>
  </si>
  <si>
    <t xml:space="preserve">KEGIATAN ANTAR KIRIM BARANG </t>
  </si>
  <si>
    <t>https://fasih-sm.bps.go.id/app/assignment/fd68e454-ba45-4b85-8205-f3bf777ded24/e041580e-b5ba-4ff4-83f8-9402a4d95989</t>
  </si>
  <si>
    <t>3271</t>
  </si>
  <si>
    <t>52213</t>
  </si>
  <si>
    <t>2009</t>
  </si>
  <si>
    <t>MARGA SARANA JABAR, PT</t>
  </si>
  <si>
    <t>jasa layanan jalan tol</t>
  </si>
  <si>
    <t>https://fasih-sm.bps.go.id/app/assignment/fd68e454-ba45-4b85-8205-f3bf777ded24/3433fc9a-4248-42c7-8ebc-54552e469ba6</t>
  </si>
  <si>
    <t>- Jumlah karyawan diluar Komisaris dan Direksi, nilai aset tanah dan bangunan berdasarkan data dari PBB, tanah merupakan tanah konsesi dari kementrian PU,</t>
  </si>
  <si>
    <t>52319</t>
  </si>
  <si>
    <t>2018</t>
  </si>
  <si>
    <t>J&amp;T EXSPRESS</t>
  </si>
  <si>
    <t>Ekspedisi pengiriman barang</t>
  </si>
  <si>
    <t>https://fasih-sm.bps.go.id/app/assignment/fd68e454-ba45-4b85-8205-f3bf777ded24/65652faf-9a87-4b25-bb6a-a3765f812a7e</t>
  </si>
  <si>
    <t>USAHA DI LUAR KAWASAN,, DATA SESUAI DENGAN KOSIONER YG DI ISI OLEH PEMILIK USAHA</t>
  </si>
  <si>
    <t>3275</t>
  </si>
  <si>
    <t>52221</t>
  </si>
  <si>
    <t>NASAI JAYA SEGARA PT</t>
  </si>
  <si>
    <t>Egansi pelayaran</t>
  </si>
  <si>
    <t>https://fasih-sm.bps.go.id/app/assignment/fd68e454-ba45-4b85-8205-f3bf777ded24/c12bb959-dc44-43f1-94ea-3ebbb0c4b7f6</t>
  </si>
  <si>
    <t>SESUAI</t>
  </si>
  <si>
    <t>3205</t>
  </si>
  <si>
    <t>49294</t>
  </si>
  <si>
    <t>2021</t>
  </si>
  <si>
    <t>SOPIR ANGKOT(ENGKUS SUMARNA)</t>
  </si>
  <si>
    <t xml:space="preserve">menyediakan jasa angkutan penumpang berdasarkan rute nya </t>
  </si>
  <si>
    <t>https://fasih-sm.bps.go.id/app/assignment/fd68e454-ba45-4b85-8205-f3bf777ded24/3760141c-d207-4df4-a1f7-3cd1c2840ef0</t>
  </si>
  <si>
    <t xml:space="preserve">IMAS MEMPUNYAI PENYAKIT TUMOR ORBITA </t>
  </si>
  <si>
    <t>49295</t>
  </si>
  <si>
    <t>2024</t>
  </si>
  <si>
    <t>MENTARI PELITA RAYA, PT</t>
  </si>
  <si>
    <t>USAHA ANGKUTAN SEWA</t>
  </si>
  <si>
    <t>UMK</t>
  </si>
  <si>
    <t>https://fasih-sm.bps.go.id/app/assignment/fd68e454-ba45-4b85-8205-f3bf777ded24/695d6e46-a140-4120-b120-524b317f1007</t>
  </si>
  <si>
    <t>3215</t>
  </si>
  <si>
    <t>52329</t>
  </si>
  <si>
    <t>1979</t>
  </si>
  <si>
    <t>HURIP UTAMA, PT</t>
  </si>
  <si>
    <t>PENYEDIA JASA TENAGA KERJA DAN JASA ANGKUTAN</t>
  </si>
  <si>
    <t>https://fasih-sm.bps.go.id/app/assignment/fd68e454-ba45-4b85-8205-f3bf777ded24/ec1949cc-5cdb-4d17-8c2a-c59ad10e6038</t>
  </si>
  <si>
    <t>52312</t>
  </si>
  <si>
    <t>SARANA MARITIM SEJAHTERA PT</t>
  </si>
  <si>
    <t>Jasa Keagenan Kapal/Agen Perkapalan</t>
  </si>
  <si>
    <t>https://fasih-sm.bps.go.id/app/assignment/fd68e454-ba45-4b85-8205-f3bf777ded24/48c1a169-fc2e-4791-b251-7859b83ab57f</t>
  </si>
  <si>
    <t>JUMLAH VARIAN PRODUK YANG BELUM MEMILIKI IZIN EDAR BPOM DI ISI 0 TIDAK MAU/ GALAT, MAKA DI ISI 1</t>
  </si>
  <si>
    <t>2020</t>
  </si>
  <si>
    <t>JNE</t>
  </si>
  <si>
    <t>proses packing delivery barang</t>
  </si>
  <si>
    <t>https://fasih-sm.bps.go.id/app/assignment/fd68e454-ba45-4b85-8205-f3bf777ded24/ad003fd3-2ebb-4f1c-ada4-9a39c696e922</t>
  </si>
  <si>
    <t>REVISIT</t>
  </si>
  <si>
    <t>3212</t>
  </si>
  <si>
    <t>2015</t>
  </si>
  <si>
    <t>GLOBAL JET EXPRESS PT</t>
  </si>
  <si>
    <t>JASA EXSPEDISI BARANG</t>
  </si>
  <si>
    <t>https://fasih-sm.bps.go.id/app/assignment/fd68e454-ba45-4b85-8205-f3bf777ded24/dc9b8560-835d-429a-bdaf-8ef4253fb81b</t>
  </si>
  <si>
    <t>3211</t>
  </si>
  <si>
    <t>2023</t>
  </si>
  <si>
    <t xml:space="preserve">CITRA KARYA JABAR TOL, PT </t>
  </si>
  <si>
    <t>PENGELOLA JALAN TOL</t>
  </si>
  <si>
    <t>https://fasih-sm.bps.go.id/app/assignment/fd68e454-ba45-4b85-8205-f3bf777ded24/d8a6283b-ae62-4e3e-b19c-8c4ad15ef74a</t>
  </si>
  <si>
    <t>52109</t>
  </si>
  <si>
    <t>2016</t>
  </si>
  <si>
    <t>HARRASIMA INVENTORY LOGISTIK PT</t>
  </si>
  <si>
    <t>Mengelola dan memanage penyimpanan barang (gudang)</t>
  </si>
  <si>
    <t>UM</t>
  </si>
  <si>
    <t>https://fasih-sm.bps.go.id/app/assignment/fd68e454-ba45-4b85-8205-f3bf777ded24/fb069426-9334-4084-8518-2cebfe7691b0</t>
  </si>
  <si>
    <t>49296</t>
  </si>
  <si>
    <t>2025</t>
  </si>
  <si>
    <t xml:space="preserve">OJEK ONLINE PANJI </t>
  </si>
  <si>
    <t>Ojek online penumpang</t>
  </si>
  <si>
    <t>https://fasih-sm.bps.go.id/app/assignment/fd68e454-ba45-4b85-8205-f3bf777ded24/08e80d8a-b768-4c6d-b3e3-13c2dbffdb36</t>
  </si>
  <si>
    <t>52101</t>
  </si>
  <si>
    <t>2017</t>
  </si>
  <si>
    <t>ADVANTIS AKAZA INDONESIA</t>
  </si>
  <si>
    <t xml:space="preserve">MENYEWAKAN GUDANG PENYIMPANAN BARANG </t>
  </si>
  <si>
    <t>https://fasih-sm.bps.go.id/app/assignment/fd68e454-ba45-4b85-8205-f3bf777ded24/d7c3c367-e7e2-40ef-93a5-15afcd1877f2</t>
  </si>
  <si>
    <t>51101</t>
  </si>
  <si>
    <t>1980</t>
  </si>
  <si>
    <t>GARUDA INDONESIA (PERSERO) TBK, PT</t>
  </si>
  <si>
    <t>Pusat pelayanan pelanggan dan penjualan tiket langsung secara tatap muka (offline) untuk wilayah bandung dan sekitarnya</t>
  </si>
  <si>
    <t>https://fasih-sm.bps.go.id/app/assignment/fd68e454-ba45-4b85-8205-f3bf777ded24/c117fa8d-7b2e-480a-bc29-3718278463c3</t>
  </si>
  <si>
    <t>PERUSAHAAN INI MASIH AKTIF</t>
  </si>
  <si>
    <t>SURYA TIRTA KENCANA, PT</t>
  </si>
  <si>
    <t>Industri kimia dasar organic, pergudangan dan penyimpanan, perdagangan kimia untuk tekstil dan limbah</t>
  </si>
  <si>
    <t>https://fasih-sm.bps.go.id/app/assignment/fd68e454-ba45-4b85-8205-f3bf777ded24/6fb3719d-3d27-4cd0-9e92-c58f4eb5e232</t>
  </si>
  <si>
    <t>PERUSAHAAN INI TERKONFIRMASI ADA DAN SUDAH BERDIRI SEJAK 2003</t>
  </si>
  <si>
    <t>52311</t>
  </si>
  <si>
    <t>2013</t>
  </si>
  <si>
    <t>JAPANINDO LESTARI</t>
  </si>
  <si>
    <t xml:space="preserve">jasa transportasi logistik </t>
  </si>
  <si>
    <t>https://fasih-sm.bps.go.id/app/assignment/fd68e454-ba45-4b85-8205-f3bf777ded24/7007628d-f9e6-491d-9325-a22c9c94590e</t>
  </si>
  <si>
    <t xml:space="preserve">SESUAI RESPONDEN </t>
  </si>
  <si>
    <t>53301</t>
  </si>
  <si>
    <t xml:space="preserve">BARAKA EXPRESS </t>
  </si>
  <si>
    <t>Jasa kirim paket</t>
  </si>
  <si>
    <t>https://fasih-sm.bps.go.id/app/assignment/fd68e454-ba45-4b85-8205-f3bf777ded24/45ad6375-a2d9-4196-9e99-957629a24204</t>
  </si>
  <si>
    <t xml:space="preserve">RESPONDEN MENJAWAB </t>
  </si>
  <si>
    <t>3208</t>
  </si>
  <si>
    <t>49229</t>
  </si>
  <si>
    <t xml:space="preserve">CHENGOS TRAVEL </t>
  </si>
  <si>
    <t>JASA ANGKUTAN UMUM DOR TO DOR</t>
  </si>
  <si>
    <t>https://fasih-sm.bps.go.id/app/assignment/fd68e454-ba45-4b85-8205-f3bf777ded24/70e144fc-b213-4382-b52c-3ed61ee88d9f</t>
  </si>
  <si>
    <t xml:space="preserve">RESPONDEN BERSEDIA DIWAWANCARAI DAN MEMILIKI USAHA SEBAGAI ANGKUTAN UMUM ATAU TRAVEL </t>
  </si>
  <si>
    <t>GUDANG SPX</t>
  </si>
  <si>
    <t>GUDANG DROP SHIFT BARANG</t>
  </si>
  <si>
    <t>https://fasih-sm.bps.go.id/app/assignment/fd68e454-ba45-4b85-8205-f3bf777ded24/bc2916ac-a0da-42b5-b967-1592e42e98a7</t>
  </si>
  <si>
    <t>52292</t>
  </si>
  <si>
    <t>2007</t>
  </si>
  <si>
    <t>CIPTA EKSPEDISI PERWIRATAMA</t>
  </si>
  <si>
    <t>Aktivitas Penunjang Transportasi</t>
  </si>
  <si>
    <t>https://fasih-sm.bps.go.id/app/assignment/fd68e454-ba45-4b85-8205-f3bf777ded24/2ef8cd0b-7751-43cd-aeab-282aafc38fc5</t>
  </si>
  <si>
    <t>GUDANG LAZADA</t>
  </si>
  <si>
    <t>Ekspedisi pengiriman paket</t>
  </si>
  <si>
    <t>https://fasih-sm.bps.go.id/app/assignment/fd68e454-ba45-4b85-8205-f3bf777ded24/da97a5e5-b2a4-4cac-9d06-fcd08ab5659b</t>
  </si>
  <si>
    <t>BERADA DI SUB 2 BLM DI PINDAHKAN</t>
  </si>
  <si>
    <t xml:space="preserve">OJEK ONLINE (ANWAR HADI) </t>
  </si>
  <si>
    <t>Mengantarkan penumpang dengan menggunakan layanan ojek online</t>
  </si>
  <si>
    <t>https://fasih-sm.bps.go.id/app/assignment/fd68e454-ba45-4b85-8205-f3bf777ded24/393bf58e-a998-419c-a51f-1880e5c5fe62</t>
  </si>
  <si>
    <t>RESPONDEN BERHASIL DI DATA</t>
  </si>
  <si>
    <t>50122</t>
  </si>
  <si>
    <t>2005</t>
  </si>
  <si>
    <t xml:space="preserve">BAHTERA ELSAJAYA SURYAMAS,PT </t>
  </si>
  <si>
    <t>JASA MENGANGKUT LAUT DOMESTIK</t>
  </si>
  <si>
    <t>https://fasih-sm.bps.go.id/app/assignment/fd68e454-ba45-4b85-8205-f3bf777ded24/b6a913a3-2d99-4507-967d-f8e76ea64b4c</t>
  </si>
  <si>
    <t>DRIVER OJEK ONLINE GRAB MOBIL (SUPYANJAUHARI)</t>
  </si>
  <si>
    <t>JASA OJEK ONLINE GRAB MOBIL</t>
  </si>
  <si>
    <t>https://fasih-sm.bps.go.id/app/assignment/fd68e454-ba45-4b85-8205-f3bf777ded24/bf9a3442-d776-4703-b0e9-3c1cd08ab706</t>
  </si>
  <si>
    <t>2001</t>
  </si>
  <si>
    <t>MITRA PRIANGAN PERSADA</t>
  </si>
  <si>
    <t>Gudang transit makanan minuman</t>
  </si>
  <si>
    <t>https://fasih-sm.bps.go.id/app/assignment/fd68e454-ba45-4b85-8205-f3bf777ded24/78012a67-4e96-456a-bbdc-dc0875bdcafc</t>
  </si>
  <si>
    <t>49232</t>
  </si>
  <si>
    <t>2012</t>
  </si>
  <si>
    <t>INDOPRIMA TRANS ARMADA, PT</t>
  </si>
  <si>
    <t>JASA ANGKUTAN BARANG TRANSPORTASI MOTOR DAN MOBIL YANG BARU JADI DARI PABRIKNYA</t>
  </si>
  <si>
    <t>https://fasih-sm.bps.go.id/app/assignment/fd68e454-ba45-4b85-8205-f3bf777ded24/87e83fad-b112-494b-953b-5d5f35d36eb2</t>
  </si>
  <si>
    <t>Lokasi di GIIC sebagai Garasi Parkir dan Direksi Kit</t>
  </si>
  <si>
    <t>3203</t>
  </si>
  <si>
    <t>GUDANG DROPSHIP</t>
  </si>
  <si>
    <t>Jual beli makanan ringan</t>
  </si>
  <si>
    <t>https://fasih-sm.bps.go.id/app/assignment/fd68e454-ba45-4b85-8205-f3bf777ded24/eaf33940-cbfa-4fec-ace0-5918ab8e01cc</t>
  </si>
  <si>
    <t xml:space="preserve">AGEN LPG 3 KG PT PUTERA RUKUN SEJAHTERA </t>
  </si>
  <si>
    <t>Pangkalan gas dan penjualan gas</t>
  </si>
  <si>
    <t>https://fasih-sm.bps.go.id/app/assignment/fd68e454-ba45-4b85-8205-f3bf777ded24/db1a3547-ae07-4989-9b3a-340c27c24e67</t>
  </si>
  <si>
    <t>1997</t>
  </si>
  <si>
    <t>LX PANTOS INDONESIA, PT</t>
  </si>
  <si>
    <t>Mengangkut - GUDANG LOGISTIK</t>
  </si>
  <si>
    <t>https://fasih-sm.bps.go.id/app/assignment/fd68e454-ba45-4b85-8205-f3bf777ded24/865af6ef-8dc6-4580-9423-7d8d40f68e10</t>
  </si>
  <si>
    <t>50125</t>
  </si>
  <si>
    <t>2000</t>
  </si>
  <si>
    <t>SEMESTA JAYA SAMPURNA, PT</t>
  </si>
  <si>
    <t>Hang tag pakean</t>
  </si>
  <si>
    <t>https://fasih-sm.bps.go.id/app/assignment/fd68e454-ba45-4b85-8205-f3bf777ded24/d4b3cb35-6bd1-4ddc-a2d3-e585811d0c89</t>
  </si>
  <si>
    <t>49120</t>
  </si>
  <si>
    <t>1945</t>
  </si>
  <si>
    <t>KERETA API INDONESIA PERSERO, PT</t>
  </si>
  <si>
    <t xml:space="preserve">JASA TRANSPORTASI PERKERETAAPIAN </t>
  </si>
  <si>
    <t>https://fasih-sm.bps.go.id/app/assignment/fd68e454-ba45-4b85-8205-f3bf777ded24/fd59a29c-6f4f-4d7b-a4a2-bcaa428b7f8a</t>
  </si>
  <si>
    <t xml:space="preserve">info mengenai jumlah cabang dan mekanisme pengisian = sudah mengirim data melalui unique link masing2 </t>
  </si>
  <si>
    <t>1969</t>
  </si>
  <si>
    <t>NIPON PAINT, PT</t>
  </si>
  <si>
    <t xml:space="preserve">PERGUDANGAN DAN PENYIMPANAN </t>
  </si>
  <si>
    <t>https://fasih-sm.bps.go.id/app/assignment/fd68e454-ba45-4b85-8205-f3bf777ded24/34fff28b-a3f3-465e-affd-f6b05a68c3b8</t>
  </si>
  <si>
    <t>Mohon maaf tidak bisa mengisi rincian 22 a- f</t>
  </si>
  <si>
    <t>MITSUI SOKO INDONESIA,PT</t>
  </si>
  <si>
    <t>Jasa Penyediaan Pergudangan</t>
  </si>
  <si>
    <t>https://fasih-sm.bps.go.id/app/assignment/fd68e454-ba45-4b85-8205-f3bf777ded24/1a2958d3-1233-4a58-a30a-d9262a7e1866</t>
  </si>
  <si>
    <t>50141</t>
  </si>
  <si>
    <t>TAKA GEODRILL INDONESIA, PT</t>
  </si>
  <si>
    <t>penyediaan kapal pendukung untuk survei geoteknik, survei geofisika (seismik), dan dukungan lepas pantai (offshore support) bagi sektor minyak, gas, pertambangan, dan infrastruktur maritim</t>
  </si>
  <si>
    <t>https://fasih-sm.bps.go.id/app/assignment/fd68e454-ba45-4b85-8205-f3bf777ded24/8dd5a8d2-c40f-4a24-a75b-9f91ce793cdf</t>
  </si>
  <si>
    <t>INFORMASI INI DIAMBIL DARI DOKUMEN YANG DI ISI OLEH PIHAK TAKA</t>
  </si>
  <si>
    <t>3214</t>
  </si>
  <si>
    <t>49233</t>
  </si>
  <si>
    <t>JASA ANGKUTAN (RIZAL PUTRA MANDIRI)</t>
  </si>
  <si>
    <t>JASA ANGKUTAN MATERIAL ALAM</t>
  </si>
  <si>
    <t>https://fasih-sm.bps.go.id/app/assignment/fd68e454-ba45-4b85-8205-f3bf777ded24/503b5c40-ac8e-49ae-9681-d24cb6bed8a8</t>
  </si>
  <si>
    <t>53100</t>
  </si>
  <si>
    <t>1995</t>
  </si>
  <si>
    <t>POS INDONESIA, PT</t>
  </si>
  <si>
    <t>Bergerak di bidang penyelenggaraan layanan pos, (Kurir, Logistik, Jasa Keuangan, dan Properti)</t>
  </si>
  <si>
    <t>https://fasih-sm.bps.go.id/app/assignment/fd68e454-ba45-4b85-8205-f3bf777ded24/dc7b6b2b-3278-49fd-b93a-ed2b114d2096</t>
  </si>
  <si>
    <t>52102</t>
  </si>
  <si>
    <t>ABID COLD LOGISTIC PT</t>
  </si>
  <si>
    <t>JASA PENYIMPANAN DAN PENGIRIMAN PRODUK</t>
  </si>
  <si>
    <t>https://fasih-sm.bps.go.id/app/assignment/fd68e454-ba45-4b85-8205-f3bf777ded24/195ed1dc-2df7-4281-92b6-f9e6cac44cb0</t>
  </si>
  <si>
    <t xml:space="preserve">DATA SUBMIT BY RESPONDEN </t>
  </si>
  <si>
    <t>3278</t>
  </si>
  <si>
    <t>2002</t>
  </si>
  <si>
    <t>TIARA FAJAR TRANSPORTINDO, PT</t>
  </si>
  <si>
    <t>JASA ANGKUTAN BARANG</t>
  </si>
  <si>
    <t>https://fasih-sm.bps.go.id/app/assignment/fd68e454-ba45-4b85-8205-f3bf777ded24/00aec28e-87eb-4bac-bda5-ee099166c627</t>
  </si>
  <si>
    <t>1. Nilai aset tanah diisi Rp0 (nol rupiah) karena perusahaan tidak memiliki tanah milik sendiri. Seluruh kegiatan usaha dijalankan pada bangunan yang disewa dari pihak lain berdasarkan perjanjian sewa yang berlaku. 2. Pendapatan online perusahaan diisi sebesar 0% karena seluruh penghasilan perusahaan berasal dari kontrak kerja sama jasa dengan perusahaan lain dan tidak diperoleh melalui transaksi atau penjualan secara online, internet hanya digunakan sebagai media promosi dalam website, serta media komunikasi dengan customer.</t>
  </si>
  <si>
    <t>1998</t>
  </si>
  <si>
    <t xml:space="preserve">DISTRIBUTOR BESI </t>
  </si>
  <si>
    <t xml:space="preserve">PENGANTARAN BESI BAJA </t>
  </si>
  <si>
    <t>https://fasih-sm.bps.go.id/app/assignment/fd68e454-ba45-4b85-8205-f3bf777ded24/2ab3a843-6b01-47cf-bc35-d7cf3404353c</t>
  </si>
  <si>
    <t>EINICHI COLD STORAGE</t>
  </si>
  <si>
    <t>Pergudangan berpendingin</t>
  </si>
  <si>
    <t>https://fasih-sm.bps.go.id/app/assignment/fd68e454-ba45-4b85-8205-f3bf777ded24/d44e4f9b-80e7-4a52-9b48-b7e9b89ecb61</t>
  </si>
  <si>
    <t>PERDANA ANTAR NUSA PT</t>
  </si>
  <si>
    <t>Menyediakan jasa pengiriman dan pengantaran paket atau barang dari pengirim kepada penerima.</t>
  </si>
  <si>
    <t>https://fasih-sm.bps.go.id/app/assignment/fd68e454-ba45-4b85-8205-f3bf777ded24/8372c4fe-fad1-4705-9eb3-ccad76c5cef7</t>
  </si>
  <si>
    <t>52291</t>
  </si>
  <si>
    <t>BAHTERA SURYA CARGO, PT</t>
  </si>
  <si>
    <t>PENGIRIMAN BARANG LOGISTIK</t>
  </si>
  <si>
    <t>https://fasih-sm.bps.go.id/app/assignment/fd68e454-ba45-4b85-8205-f3bf777ded24/064aff18-d2bb-4e03-86b3-b850f7a84078</t>
  </si>
  <si>
    <t>LIMA DUA SATU EXPRESS, PT</t>
  </si>
  <si>
    <t>Aktivitas Kurir</t>
  </si>
  <si>
    <t>https://fasih-sm.bps.go.id/app/assignment/fd68e454-ba45-4b85-8205-f3bf777ded24/d936212e-051d-48f5-9ed0-d33e09789a24</t>
  </si>
  <si>
    <t>TIDAK DITEMUKAN</t>
  </si>
  <si>
    <t>OJEK ONLINE</t>
  </si>
  <si>
    <t>jasa angkutan motor online</t>
  </si>
  <si>
    <t>https://fasih-sm.bps.go.id/app/assignment/fd68e454-ba45-4b85-8205-f3bf777ded24/47619cce-41e0-482b-ab6e-4bd328c548ff</t>
  </si>
  <si>
    <t>SEGORO LOGIS YANG HUTAMA, PT</t>
  </si>
  <si>
    <t>Jasa transportasi atau pengiriman barang di dalam maupun luar negri</t>
  </si>
  <si>
    <t>https://fasih-sm.bps.go.id/app/assignment/fd68e454-ba45-4b85-8205-f3bf777ded24/266afe05-26ea-4870-9778-6f519d466a0d</t>
  </si>
  <si>
    <t xml:space="preserve">TREVEL (ARDI) </t>
  </si>
  <si>
    <t>Menyediakan jasa transportasi penumpang menggunakan mobil travel untuk mengantar dan menjemput penumpang dari satu daerah ke daerah lain sesuai rute dan tujuan yang telah ditentukan.</t>
  </si>
  <si>
    <t>https://fasih-sm.bps.go.id/app/assignment/fd68e454-ba45-4b85-8205-f3bf777ded24/2a08162c-af1a-4b23-be62-de7cd933b113</t>
  </si>
  <si>
    <t>GRAB MOBIL</t>
  </si>
  <si>
    <t>MELAYANI JASA ANGKUTAN PENUMPANG DENGAN MOBIL MELALUI APLIKASI GRAB.</t>
  </si>
  <si>
    <t>https://fasih-sm.bps.go.id/app/assignment/fd68e454-ba45-4b85-8205-f3bf777ded24/434cbb8c-98c7-40cc-92fc-d1f6ae02599d</t>
  </si>
  <si>
    <t>BAPAK AZKA SEHARI-HARI BEKERJA SEBAGAI SOPIR GRAB MOBIL.</t>
  </si>
  <si>
    <t>LANGGENG AMANAH EXPRESS PT</t>
  </si>
  <si>
    <t>Jasa expedisi darat</t>
  </si>
  <si>
    <t>https://fasih-sm.bps.go.id/app/assignment/fd68e454-ba45-4b85-8205-f3bf777ded24/4e9e0c47-5360-48b1-aea8-eef6ae4e4594</t>
  </si>
  <si>
    <t xml:space="preserve">SUDAH BERHASIL DI DATA </t>
  </si>
  <si>
    <t>3206</t>
  </si>
  <si>
    <t>Usaha jasa angkut barang</t>
  </si>
  <si>
    <t xml:space="preserve">Mengangkut barang </t>
  </si>
  <si>
    <t>https://fasih-sm.bps.go.id/app/assignment/fd68e454-ba45-4b85-8205-f3bf777ded24/49a0cc0a-cedf-4576-b098-c6948b1a52be</t>
  </si>
  <si>
    <t>ENCIH MENYEWAKAN MOBIL ANGKUTAN BARANG DENGAN 2 UNIT SATU DUM TRUK,DAN SATU TRUK</t>
  </si>
  <si>
    <t>3209</t>
  </si>
  <si>
    <t>1986</t>
  </si>
  <si>
    <t>AGP CABANG JAWA BARAT</t>
  </si>
  <si>
    <t>JETTY MANAJEMEN, BONGKAR MUAT BATUBARA, TUG ASSIST, PENGERUKAN DAN LOGISTIK DI LOKASI PLTU</t>
  </si>
  <si>
    <t>https://fasih-sm.bps.go.id/app/assignment/fd68e454-ba45-4b85-8205-f3bf777ded24/637cd9f4-f79b-448d-99cd-6579b04f8d1b</t>
  </si>
  <si>
    <t>49221</t>
  </si>
  <si>
    <t xml:space="preserve">EKA SARI LORENA TRANSPORT TBK PT </t>
  </si>
  <si>
    <t>ANGKUTAN BUS ANTAR KOTA ANTAR PROPINSI (AKAP)</t>
  </si>
  <si>
    <t>https://fasih-sm.bps.go.id/app/assignment/fd68e454-ba45-4b85-8205-f3bf777ded24/3a2207fc-e839-4ddf-83a1-d7c41e9b3ffd</t>
  </si>
  <si>
    <t>PT EKA SARI LORENA TRANSPORT TBK (LORENA GROUP)</t>
  </si>
  <si>
    <t>52219</t>
  </si>
  <si>
    <t>POOL DAMRI</t>
  </si>
  <si>
    <t xml:space="preserve">Reservasi dan pemeliharaan </t>
  </si>
  <si>
    <t>https://fasih-sm.bps.go.id/app/assignment/fd68e454-ba45-4b85-8205-f3bf777ded24/beb4ec35-e585-4fe1-8f2d-49084737566e</t>
  </si>
  <si>
    <t>LENGKAP</t>
  </si>
  <si>
    <t>OJEK ONLINE (MUHAMMAD FAHMI SYARIPUDIN)</t>
  </si>
  <si>
    <t>Penyediaan jasa ojek online motor</t>
  </si>
  <si>
    <t>https://fasih-sm.bps.go.id/app/assignment/fd68e454-ba45-4b85-8205-f3bf777ded24/751c1dcb-8ef5-4707-980e-c13ae5886859</t>
  </si>
  <si>
    <t>3204</t>
  </si>
  <si>
    <t>2010</t>
  </si>
  <si>
    <t xml:space="preserve">JASA NGANTAR JEMPUT BARANG </t>
  </si>
  <si>
    <t xml:space="preserve">Mengantar jemput barang sampai ke tujuan </t>
  </si>
  <si>
    <t>https://fasih-sm.bps.go.id/app/assignment/fd68e454-ba45-4b85-8205-f3bf777ded24/106f1598-bd93-4120-9e1c-4e2400aab247</t>
  </si>
  <si>
    <t>52215</t>
  </si>
  <si>
    <t>PENITIPAN MOTOR H ROHALI</t>
  </si>
  <si>
    <t>Menyediakan lahan/tempat parkir, menjaga, dan mengawasi sepeda motor yang dititipkan pemiliknya selama jangka waktu tertentu dengan imbalan jasa</t>
  </si>
  <si>
    <t>https://fasih-sm.bps.go.id/app/assignment/fd68e454-ba45-4b85-8205-f3bf777ded24/e2e6b3ba-5186-4e14-8a5b-a9a149ca9412</t>
  </si>
  <si>
    <t xml:space="preserve">PENITIPAN MOTOR INI USAHA KELUARGA UNTUK PENDAPATAN DI BAGI HASIL RATA BERSAMA </t>
  </si>
  <si>
    <t xml:space="preserve">JASA ANGKUTAN ( RINALDI) </t>
  </si>
  <si>
    <t>jasa angkutan barang</t>
  </si>
  <si>
    <t>https://fasih-sm.bps.go.id/app/assignment/fd68e454-ba45-4b85-8205-f3bf777ded24/469bb2ab-4053-49ea-8c26-39c6f29ffaae</t>
  </si>
  <si>
    <t>2014</t>
  </si>
  <si>
    <t>INTICORP PT</t>
  </si>
  <si>
    <t>ANGKUTAN BERMOTOR UNTUK BARANG UMUM</t>
  </si>
  <si>
    <t>https://fasih-sm.bps.go.id/app/assignment/fd68e454-ba45-4b85-8205-f3bf777ded24/0fb1891a-521c-460d-9dd6-53ec7f7f3191</t>
  </si>
  <si>
    <t xml:space="preserve">RAF CAHAYA LESTARI </t>
  </si>
  <si>
    <t>pengiriman barang untuk memastikan ketepatan waktu distribusi.</t>
  </si>
  <si>
    <t>https://fasih-sm.bps.go.id/app/assignment/fd68e454-ba45-4b85-8205-f3bf777ded24/733bcfcc-5cb5-4dcb-903c-ec62b8810072</t>
  </si>
  <si>
    <t>99999</t>
  </si>
  <si>
    <t xml:space="preserve">KERETA API INDONESIA PERSERO LRT JABODEBEK PT </t>
  </si>
  <si>
    <t>Jasa Transportasi</t>
  </si>
  <si>
    <t>https://fasih-sm.bps.go.id/app/assignment/fd68e454-ba45-4b85-8205-f3bf777ded24/bfa52cbf-2f7b-4417-8c02-f4d86c4c71c9</t>
  </si>
  <si>
    <t>PENASCOP MARITIM INDONESIA, PT</t>
  </si>
  <si>
    <t>JASA KEAGENAN KAPAL</t>
  </si>
  <si>
    <t>https://fasih-sm.bps.go.id/app/assignment/fd68e454-ba45-4b85-8205-f3bf777ded24/4f094d3d-1438-47c6-922a-5cef4fa33bd4</t>
  </si>
  <si>
    <t>Rasio NTB (Menjadi)</t>
  </si>
  <si>
    <t>#DC_00</t>
  </si>
  <si>
    <t>#DC_03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</si>
</sst>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 #,##0.00_ ;_ * \-#,##0.00_ ;_ * &quot;-&quot;??_ ;_ @_ "/>
    <numFmt numFmtId="165" formatCode="_ * #,##0_ ;_ * \-#,##0_ ;_ * &quot;-&quot;??_ ;_ @_ "/>
  </numFmts>
  <fonts count="5">
    <font>
      <sz val="11"/>
      <color theme="1"/>
      <name val="Calibri"/>
      <charset val="134"/>
      <scheme val="minor"/>
    </font>
    <font>
      <b/>
      <sz val="11"/>
      <color theme="1"/>
      <name val="Calibri"/>
      <charset val="134"/>
      <scheme val="minor"/>
    </font>
    <font>
      <u/>
      <sz val="11"/>
      <color theme="10"/>
      <name val="Calibri"/>
      <charset val="134"/>
    </font>
    <font>
      <b/>
      <sz val="8"/>
      <color theme="1"/>
      <name val="Calibri"/>
      <charset val="134"/>
      <scheme val="minor"/>
    </font>
    <font>
      <sz val="11"/>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9" tint="0.79995117038483843"/>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3">
    <xf numFmtId="0" fontId="0" fillId="0" borderId="0"/>
    <xf numFmtId="164" fontId="4" fillId="0" borderId="0" applyFont="0" applyFill="0" applyBorder="0" applyAlignment="0" applyProtection="0">
      <alignment vertical="center"/>
    </xf>
    <xf numFmtId="0" fontId="2" fillId="0" borderId="0" applyNumberFormat="0" applyFill="0" applyBorder="0" applyAlignment="0" applyProtection="0">
      <alignment vertical="top"/>
      <protection locked="0"/>
    </xf>
  </cellStyleXfs>
  <cellXfs count="12">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2" borderId="0" xfId="0" applyFont="1" applyFill="1" applyAlignment="1">
      <alignment vertical="top" wrapText="1"/>
    </xf>
    <xf numFmtId="0" fontId="0" fillId="0" borderId="2" xfId="0" applyBorder="1"/>
    <xf numFmtId="165" fontId="0" fillId="0" borderId="2" xfId="1" applyNumberFormat="1" applyFont="1" applyBorder="1" applyAlignment="1"/>
    <xf numFmtId="0" fontId="2" fillId="0" borderId="2" xfId="2" applyBorder="1" applyAlignment="1" applyProtection="1"/>
    <xf numFmtId="0" fontId="3" fillId="0" borderId="2" xfId="0" applyFont="1" applyBorder="1"/>
    <xf numFmtId="0" fontId="1" fillId="3" borderId="0" xfId="0" applyFont="1" applyFill="1" applyAlignment="1">
      <alignment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165" fontId="0" fillId="0" borderId="2" xfId="0" applyNumberFormat="1" applyBorder="1"/>
  </cellXfs>
  <cellStyles count="3">
    <cellStyle name="Comma" xfId="1" builtinId="3"/>
    <cellStyle name="Hyperlink" xfId="2"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asih-sm.bps.go.id/app/assignment/fd68e454-ba45-4b85-8205-f3bf777ded24/8372c4fe-fad1-4705-9eb3-ccad76c5cef7" TargetMode="External"/><Relationship Id="rId21" Type="http://schemas.openxmlformats.org/officeDocument/2006/relationships/hyperlink" Target="https://fasih-sm.bps.go.id/app/assignment/fd68e454-ba45-4b85-8205-f3bf777ded24/2ef8cd0b-7751-43cd-aeab-282aafc38fc5" TargetMode="External"/><Relationship Id="rId34" Type="http://schemas.openxmlformats.org/officeDocument/2006/relationships/hyperlink" Target="https://fasih-sm.bps.go.id/app/assignment/fd68e454-ba45-4b85-8205-f3bf777ded24/ec1949cc-5cdb-4d17-8c2a-c59ad10e6038" TargetMode="External"/><Relationship Id="rId42" Type="http://schemas.openxmlformats.org/officeDocument/2006/relationships/hyperlink" Target="https://fasih-sm.bps.go.id/app/assignment/fd68e454-ba45-4b85-8205-f3bf777ded24/0fb1891a-521c-460d-9dd6-53ec7f7f3191" TargetMode="External"/><Relationship Id="rId47" Type="http://schemas.openxmlformats.org/officeDocument/2006/relationships/hyperlink" Target="https://fasih-sm.bps.go.id/app/assignment/fd68e454-ba45-4b85-8205-f3bf777ded24/49a0cc0a-cedf-4576-b098-c6948b1a52be" TargetMode="External"/><Relationship Id="rId50" Type="http://schemas.openxmlformats.org/officeDocument/2006/relationships/hyperlink" Target="https://fasih-sm.bps.go.id/app/assignment/fd68e454-ba45-4b85-8205-f3bf777ded24/47619cce-41e0-482b-ab6e-4bd328c548ff" TargetMode="External"/><Relationship Id="rId55" Type="http://schemas.openxmlformats.org/officeDocument/2006/relationships/hyperlink" Target="https://fasih-sm.bps.go.id/app/assignment/fd68e454-ba45-4b85-8205-f3bf777ded24/7007628d-f9e6-491d-9325-a22c9c94590e" TargetMode="External"/><Relationship Id="rId63" Type="http://schemas.openxmlformats.org/officeDocument/2006/relationships/hyperlink" Target="https://fasih-sm.bps.go.id/app/assignment/fd68e454-ba45-4b85-8205-f3bf777ded24/b6a913a3-2d99-4507-967d-f8e76ea64b4c" TargetMode="External"/><Relationship Id="rId7" Type="http://schemas.openxmlformats.org/officeDocument/2006/relationships/hyperlink" Target="https://fasih-sm.bps.go.id/app/assignment/fd68e454-ba45-4b85-8205-f3bf777ded24/503b5c40-ac8e-49ae-9681-d24cb6bed8a8" TargetMode="External"/><Relationship Id="rId2" Type="http://schemas.openxmlformats.org/officeDocument/2006/relationships/hyperlink" Target="https://fasih-sm.bps.go.id/app/assignment/fd68e454-ba45-4b85-8205-f3bf777ded24/dc9b8560-835d-429a-bdaf-8ef4253fb81b" TargetMode="External"/><Relationship Id="rId16" Type="http://schemas.openxmlformats.org/officeDocument/2006/relationships/hyperlink" Target="https://fasih-sm.bps.go.id/app/assignment/fd68e454-ba45-4b85-8205-f3bf777ded24/ad003fd3-2ebb-4f1c-ada4-9a39c696e922" TargetMode="External"/><Relationship Id="rId29" Type="http://schemas.openxmlformats.org/officeDocument/2006/relationships/hyperlink" Target="https://fasih-sm.bps.go.id/app/assignment/fd68e454-ba45-4b85-8205-f3bf777ded24/3a2207fc-e839-4ddf-83a1-d7c41e9b3ffd" TargetMode="External"/><Relationship Id="rId11" Type="http://schemas.openxmlformats.org/officeDocument/2006/relationships/hyperlink" Target="https://fasih-sm.bps.go.id/app/assignment/fd68e454-ba45-4b85-8205-f3bf777ded24/bfa52cbf-2f7b-4417-8c02-f4d86c4c71c9" TargetMode="External"/><Relationship Id="rId24" Type="http://schemas.openxmlformats.org/officeDocument/2006/relationships/hyperlink" Target="https://fasih-sm.bps.go.id/app/assignment/fd68e454-ba45-4b85-8205-f3bf777ded24/1a2958d3-1233-4a58-a30a-d9262a7e1866" TargetMode="External"/><Relationship Id="rId32" Type="http://schemas.openxmlformats.org/officeDocument/2006/relationships/hyperlink" Target="https://fasih-sm.bps.go.id/app/assignment/fd68e454-ba45-4b85-8205-f3bf777ded24/733bcfcc-5cb5-4dcb-903c-ec62b8810072" TargetMode="External"/><Relationship Id="rId37" Type="http://schemas.openxmlformats.org/officeDocument/2006/relationships/hyperlink" Target="https://fasih-sm.bps.go.id/app/assignment/fd68e454-ba45-4b85-8205-f3bf777ded24/87e83fad-b112-494b-953b-5d5f35d36eb2" TargetMode="External"/><Relationship Id="rId40" Type="http://schemas.openxmlformats.org/officeDocument/2006/relationships/hyperlink" Target="https://fasih-sm.bps.go.id/app/assignment/fd68e454-ba45-4b85-8205-f3bf777ded24/195ed1dc-2df7-4281-92b6-f9e6cac44cb0" TargetMode="External"/><Relationship Id="rId45" Type="http://schemas.openxmlformats.org/officeDocument/2006/relationships/hyperlink" Target="https://fasih-sm.bps.go.id/app/assignment/fd68e454-ba45-4b85-8205-f3bf777ded24/106f1598-bd93-4120-9e1c-4e2400aab247" TargetMode="External"/><Relationship Id="rId53" Type="http://schemas.openxmlformats.org/officeDocument/2006/relationships/hyperlink" Target="https://fasih-sm.bps.go.id/app/assignment/fd68e454-ba45-4b85-8205-f3bf777ded24/70e144fc-b213-4382-b52c-3ed61ee88d9f" TargetMode="External"/><Relationship Id="rId58" Type="http://schemas.openxmlformats.org/officeDocument/2006/relationships/hyperlink" Target="https://fasih-sm.bps.go.id/app/assignment/fd68e454-ba45-4b85-8205-f3bf777ded24/c12bb959-dc44-43f1-94ea-3ebbb0c4b7f6" TargetMode="External"/><Relationship Id="rId66" Type="http://schemas.openxmlformats.org/officeDocument/2006/relationships/hyperlink" Target="https://fasih-sm.bps.go.id/app/assignment/fd68e454-ba45-4b85-8205-f3bf777ded24/637cd9f4-f79b-448d-99cd-6579b04f8d1b" TargetMode="External"/><Relationship Id="rId5" Type="http://schemas.openxmlformats.org/officeDocument/2006/relationships/hyperlink" Target="https://fasih-sm.bps.go.id/app/assignment/fd68e454-ba45-4b85-8205-f3bf777ded24/d4b3cb35-6bd1-4ddc-a2d3-e585811d0c89" TargetMode="External"/><Relationship Id="rId61" Type="http://schemas.openxmlformats.org/officeDocument/2006/relationships/hyperlink" Target="https://fasih-sm.bps.go.id/app/assignment/fd68e454-ba45-4b85-8205-f3bf777ded24/3433fc9a-4248-42c7-8ebc-54552e469ba6" TargetMode="External"/><Relationship Id="rId19" Type="http://schemas.openxmlformats.org/officeDocument/2006/relationships/hyperlink" Target="https://fasih-sm.bps.go.id/app/assignment/fd68e454-ba45-4b85-8205-f3bf777ded24/d7c3c367-e7e2-40ef-93a5-15afcd1877f2" TargetMode="External"/><Relationship Id="rId14" Type="http://schemas.openxmlformats.org/officeDocument/2006/relationships/hyperlink" Target="https://fasih-sm.bps.go.id/app/assignment/fd68e454-ba45-4b85-8205-f3bf777ded24/cba449e7-583b-44dd-bbb8-4d2e16f103e6" TargetMode="External"/><Relationship Id="rId22" Type="http://schemas.openxmlformats.org/officeDocument/2006/relationships/hyperlink" Target="https://fasih-sm.bps.go.id/app/assignment/fd68e454-ba45-4b85-8205-f3bf777ded24/da97a5e5-b2a4-4cac-9d06-fcd08ab5659b" TargetMode="External"/><Relationship Id="rId27" Type="http://schemas.openxmlformats.org/officeDocument/2006/relationships/hyperlink" Target="https://fasih-sm.bps.go.id/app/assignment/fd68e454-ba45-4b85-8205-f3bf777ded24/d936212e-051d-48f5-9ed0-d33e09789a24" TargetMode="External"/><Relationship Id="rId30" Type="http://schemas.openxmlformats.org/officeDocument/2006/relationships/hyperlink" Target="https://fasih-sm.bps.go.id/app/assignment/fd68e454-ba45-4b85-8205-f3bf777ded24/beb4ec35-e585-4fe1-8f2d-49084737566e" TargetMode="External"/><Relationship Id="rId35" Type="http://schemas.openxmlformats.org/officeDocument/2006/relationships/hyperlink" Target="https://fasih-sm.bps.go.id/app/assignment/fd68e454-ba45-4b85-8205-f3bf777ded24/48c1a169-fc2e-4791-b251-7859b83ab57f" TargetMode="External"/><Relationship Id="rId43" Type="http://schemas.openxmlformats.org/officeDocument/2006/relationships/hyperlink" Target="https://fasih-sm.bps.go.id/app/assignment/fd68e454-ba45-4b85-8205-f3bf777ded24/4f094d3d-1438-47c6-922a-5cef4fa33bd4" TargetMode="External"/><Relationship Id="rId48" Type="http://schemas.openxmlformats.org/officeDocument/2006/relationships/hyperlink" Target="https://fasih-sm.bps.go.id/app/assignment/fd68e454-ba45-4b85-8205-f3bf777ded24/434cbb8c-98c7-40cc-92fc-d1f6ae02599d" TargetMode="External"/><Relationship Id="rId56" Type="http://schemas.openxmlformats.org/officeDocument/2006/relationships/hyperlink" Target="https://fasih-sm.bps.go.id/app/assignment/fd68e454-ba45-4b85-8205-f3bf777ded24/08e80d8a-b768-4c6d-b3e3-13c2dbffdb36" TargetMode="External"/><Relationship Id="rId64" Type="http://schemas.openxmlformats.org/officeDocument/2006/relationships/hyperlink" Target="https://fasih-sm.bps.go.id/app/assignment/fd68e454-ba45-4b85-8205-f3bf777ded24/eaf33940-cbfa-4fec-ace0-5918ab8e01cc" TargetMode="External"/><Relationship Id="rId8" Type="http://schemas.openxmlformats.org/officeDocument/2006/relationships/hyperlink" Target="https://fasih-sm.bps.go.id/app/assignment/fd68e454-ba45-4b85-8205-f3bf777ded24/2ab3a843-6b01-47cf-bc35-d7cf3404353c" TargetMode="External"/><Relationship Id="rId51" Type="http://schemas.openxmlformats.org/officeDocument/2006/relationships/hyperlink" Target="https://fasih-sm.bps.go.id/app/assignment/fd68e454-ba45-4b85-8205-f3bf777ded24/bf9a3442-d776-4703-b0e9-3c1cd08ab706" TargetMode="External"/><Relationship Id="rId3" Type="http://schemas.openxmlformats.org/officeDocument/2006/relationships/hyperlink" Target="https://fasih-sm.bps.go.id/app/assignment/fd68e454-ba45-4b85-8205-f3bf777ded24/db1a3547-ae07-4989-9b3a-340c27c24e67" TargetMode="External"/><Relationship Id="rId12" Type="http://schemas.openxmlformats.org/officeDocument/2006/relationships/hyperlink" Target="https://fasih-sm.bps.go.id/app/assignment/fd68e454-ba45-4b85-8205-f3bf777ded24/bfa52cbf-2f7b-4417-8c02-f4d86c4c71c9" TargetMode="External"/><Relationship Id="rId17" Type="http://schemas.openxmlformats.org/officeDocument/2006/relationships/hyperlink" Target="https://fasih-sm.bps.go.id/app/assignment/fd68e454-ba45-4b85-8205-f3bf777ded24/d8a6283b-ae62-4e3e-b19c-8c4ad15ef74a" TargetMode="External"/><Relationship Id="rId25" Type="http://schemas.openxmlformats.org/officeDocument/2006/relationships/hyperlink" Target="https://fasih-sm.bps.go.id/app/assignment/fd68e454-ba45-4b85-8205-f3bf777ded24/00aec28e-87eb-4bac-bda5-ee099166c627" TargetMode="External"/><Relationship Id="rId33" Type="http://schemas.openxmlformats.org/officeDocument/2006/relationships/hyperlink" Target="https://fasih-sm.bps.go.id/app/assignment/fd68e454-ba45-4b85-8205-f3bf777ded24/695d6e46-a140-4120-b120-524b317f1007" TargetMode="External"/><Relationship Id="rId38" Type="http://schemas.openxmlformats.org/officeDocument/2006/relationships/hyperlink" Target="https://fasih-sm.bps.go.id/app/assignment/fd68e454-ba45-4b85-8205-f3bf777ded24/fd59a29c-6f4f-4d7b-a4a2-bcaa428b7f8a" TargetMode="External"/><Relationship Id="rId46" Type="http://schemas.openxmlformats.org/officeDocument/2006/relationships/hyperlink" Target="https://fasih-sm.bps.go.id/app/assignment/fd68e454-ba45-4b85-8205-f3bf777ded24/751c1dcb-8ef5-4707-980e-c13ae5886859" TargetMode="External"/><Relationship Id="rId59" Type="http://schemas.openxmlformats.org/officeDocument/2006/relationships/hyperlink" Target="https://fasih-sm.bps.go.id/app/assignment/fd68e454-ba45-4b85-8205-f3bf777ded24/e041580e-b5ba-4ff4-83f8-9402a4d95989" TargetMode="External"/><Relationship Id="rId20" Type="http://schemas.openxmlformats.org/officeDocument/2006/relationships/hyperlink" Target="https://fasih-sm.bps.go.id/app/assignment/fd68e454-ba45-4b85-8205-f3bf777ded24/bc2916ac-a0da-42b5-b967-1592e42e98a7" TargetMode="External"/><Relationship Id="rId41" Type="http://schemas.openxmlformats.org/officeDocument/2006/relationships/hyperlink" Target="https://fasih-sm.bps.go.id/app/assignment/fd68e454-ba45-4b85-8205-f3bf777ded24/064aff18-d2bb-4e03-86b3-b850f7a84078" TargetMode="External"/><Relationship Id="rId54" Type="http://schemas.openxmlformats.org/officeDocument/2006/relationships/hyperlink" Target="https://fasih-sm.bps.go.id/app/assignment/fd68e454-ba45-4b85-8205-f3bf777ded24/45ad6375-a2d9-4196-9e99-957629a24204" TargetMode="External"/><Relationship Id="rId62" Type="http://schemas.openxmlformats.org/officeDocument/2006/relationships/hyperlink" Target="https://fasih-sm.bps.go.id/app/assignment/fd68e454-ba45-4b85-8205-f3bf777ded24/6fb3719d-3d27-4cd0-9e92-c58f4eb5e232" TargetMode="External"/><Relationship Id="rId1" Type="http://schemas.openxmlformats.org/officeDocument/2006/relationships/hyperlink" Target="https://fasih-sm.bps.go.id/app/assignment/fd68e454-ba45-4b85-8205-f3bf777ded24/c055a82d-c9c2-4055-a812-3fdac90be04a" TargetMode="External"/><Relationship Id="rId6" Type="http://schemas.openxmlformats.org/officeDocument/2006/relationships/hyperlink" Target="https://fasih-sm.bps.go.id/app/assignment/fd68e454-ba45-4b85-8205-f3bf777ded24/34fff28b-a3f3-465e-affd-f6b05a68c3b8" TargetMode="External"/><Relationship Id="rId15" Type="http://schemas.openxmlformats.org/officeDocument/2006/relationships/hyperlink" Target="https://fasih-sm.bps.go.id/app/assignment/fd68e454-ba45-4b85-8205-f3bf777ded24/65652faf-9a87-4b25-bb6a-a3765f812a7e" TargetMode="External"/><Relationship Id="rId23" Type="http://schemas.openxmlformats.org/officeDocument/2006/relationships/hyperlink" Target="https://fasih-sm.bps.go.id/app/assignment/fd68e454-ba45-4b85-8205-f3bf777ded24/78012a67-4e96-456a-bbdc-dc0875bdcafc" TargetMode="External"/><Relationship Id="rId28" Type="http://schemas.openxmlformats.org/officeDocument/2006/relationships/hyperlink" Target="https://fasih-sm.bps.go.id/app/assignment/fd68e454-ba45-4b85-8205-f3bf777ded24/266afe05-26ea-4870-9778-6f519d466a0d" TargetMode="External"/><Relationship Id="rId36" Type="http://schemas.openxmlformats.org/officeDocument/2006/relationships/hyperlink" Target="https://fasih-sm.bps.go.id/app/assignment/fd68e454-ba45-4b85-8205-f3bf777ded24/c117fa8d-7b2e-480a-bc29-3718278463c3" TargetMode="External"/><Relationship Id="rId49" Type="http://schemas.openxmlformats.org/officeDocument/2006/relationships/hyperlink" Target="https://fasih-sm.bps.go.id/app/assignment/fd68e454-ba45-4b85-8205-f3bf777ded24/2a08162c-af1a-4b23-be62-de7cd933b113" TargetMode="External"/><Relationship Id="rId57" Type="http://schemas.openxmlformats.org/officeDocument/2006/relationships/hyperlink" Target="https://fasih-sm.bps.go.id/app/assignment/fd68e454-ba45-4b85-8205-f3bf777ded24/3760141c-d207-4df4-a1f7-3cd1c2840ef0" TargetMode="External"/><Relationship Id="rId10" Type="http://schemas.openxmlformats.org/officeDocument/2006/relationships/hyperlink" Target="https://fasih-sm.bps.go.id/app/assignment/fd68e454-ba45-4b85-8205-f3bf777ded24/4e9e0c47-5360-48b1-aea8-eef6ae4e4594" TargetMode="External"/><Relationship Id="rId31" Type="http://schemas.openxmlformats.org/officeDocument/2006/relationships/hyperlink" Target="https://fasih-sm.bps.go.id/app/assignment/fd68e454-ba45-4b85-8205-f3bf777ded24/e2e6b3ba-5186-4e14-8a5b-a9a149ca9412" TargetMode="External"/><Relationship Id="rId44" Type="http://schemas.openxmlformats.org/officeDocument/2006/relationships/hyperlink" Target="https://fasih-sm.bps.go.id/app/assignment/fd68e454-ba45-4b85-8205-f3bf777ded24/469bb2ab-4053-49ea-8c26-39c6f29ffaae" TargetMode="External"/><Relationship Id="rId52" Type="http://schemas.openxmlformats.org/officeDocument/2006/relationships/hyperlink" Target="https://fasih-sm.bps.go.id/app/assignment/fd68e454-ba45-4b85-8205-f3bf777ded24/393bf58e-a998-419c-a51f-1880e5c5fe62" TargetMode="External"/><Relationship Id="rId60" Type="http://schemas.openxmlformats.org/officeDocument/2006/relationships/hyperlink" Target="https://fasih-sm.bps.go.id/app/assignment/fd68e454-ba45-4b85-8205-f3bf777ded24/82b1dec7-4501-4b89-ae8e-9f4f87a47efb" TargetMode="External"/><Relationship Id="rId65" Type="http://schemas.openxmlformats.org/officeDocument/2006/relationships/hyperlink" Target="https://fasih-sm.bps.go.id/app/assignment/fd68e454-ba45-4b85-8205-f3bf777ded24/8dd5a8d2-c40f-4a24-a75b-9f91ce793cdf" TargetMode="External"/><Relationship Id="rId4" Type="http://schemas.openxmlformats.org/officeDocument/2006/relationships/hyperlink" Target="https://fasih-sm.bps.go.id/app/assignment/fd68e454-ba45-4b85-8205-f3bf777ded24/865af6ef-8dc6-4580-9423-7d8d40f68e10" TargetMode="External"/><Relationship Id="rId9" Type="http://schemas.openxmlformats.org/officeDocument/2006/relationships/hyperlink" Target="https://fasih-sm.bps.go.id/app/assignment/fd68e454-ba45-4b85-8205-f3bf777ded24/d44e4f9b-80e7-4a52-9b48-b7e9b89ecb61" TargetMode="External"/><Relationship Id="rId13" Type="http://schemas.openxmlformats.org/officeDocument/2006/relationships/hyperlink" Target="https://fasih-sm.bps.go.id/app/assignment/fd68e454-ba45-4b85-8205-f3bf777ded24/bfa52cbf-2f7b-4417-8c02-f4d86c4c71c9" TargetMode="External"/><Relationship Id="rId18" Type="http://schemas.openxmlformats.org/officeDocument/2006/relationships/hyperlink" Target="https://fasih-sm.bps.go.id/app/assignment/fd68e454-ba45-4b85-8205-f3bf777ded24/fb069426-9334-4084-8518-2cebfe7691b0" TargetMode="External"/><Relationship Id="rId39" Type="http://schemas.openxmlformats.org/officeDocument/2006/relationships/hyperlink" Target="https://fasih-sm.bps.go.id/app/assignment/fd68e454-ba45-4b85-8205-f3bf777ded24/dc7b6b2b-3278-49fd-b93a-ed2b114d20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7"/>
  <sheetViews>
    <sheetView tabSelected="1" workbookViewId="0"/>
  </sheetViews>
  <sheetFormatPr defaultRowHeight="15"/>
  <cols>
    <col min="8" max="9" width="17.42578125" bestFit="1" customWidth="1"/>
    <col min="10" max="10" width="9" bestFit="1" customWidth="1"/>
    <col min="11" max="15" width="17.42578125" bestFit="1" customWidth="1"/>
    <col min="16" max="16" width="18.140625" bestFit="1" customWidth="1"/>
    <col min="17" max="17" width="18.42578125" bestFit="1" customWidth="1"/>
    <col min="18" max="18" width="17.42578125" bestFit="1" customWidth="1"/>
    <col min="21" max="21" width="9.7109375" bestFit="1" customWidth="1"/>
    <col min="22" max="22" width="12" bestFit="1" customWidth="1"/>
    <col min="26" max="27" width="9" bestFit="1" customWidth="1"/>
    <col min="28" max="28" width="17.42578125" bestFit="1" customWidth="1"/>
    <col min="29" max="29" width="9.7109375" bestFit="1" customWidth="1"/>
    <col min="30" max="30" width="15.7109375" bestFit="1" customWidth="1"/>
    <col min="31" max="31" width="10.5703125" bestFit="1" customWidth="1"/>
    <col min="32" max="32" width="17.42578125" bestFit="1" customWidth="1"/>
    <col min="33" max="33" width="9.7109375" bestFit="1" customWidth="1"/>
    <col min="34" max="34" width="12" bestFit="1" customWidth="1"/>
  </cols>
  <sheetData>
    <row r="1" spans="1:43" s="1" customFormat="1" ht="73.900000000000006"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8" t="s">
        <v>25</v>
      </c>
      <c r="AA1" s="9" t="s">
        <v>26</v>
      </c>
      <c r="AB1" s="9" t="s">
        <v>27</v>
      </c>
      <c r="AC1" s="9" t="s">
        <v>28</v>
      </c>
      <c r="AD1" s="9" t="s">
        <v>29</v>
      </c>
      <c r="AE1" s="9" t="s">
        <v>30</v>
      </c>
      <c r="AF1" s="9" t="s">
        <v>31</v>
      </c>
      <c r="AG1" s="9" t="s">
        <v>32</v>
      </c>
      <c r="AH1" s="9" t="s">
        <v>344</v>
      </c>
      <c r="AI1" s="10" t="s">
        <v>33</v>
      </c>
      <c r="AJ1" s="10" t="s">
        <v>34</v>
      </c>
      <c r="AK1" s="10" t="s">
        <v>35</v>
      </c>
      <c r="AL1" s="10" t="s">
        <v>36</v>
      </c>
      <c r="AM1" s="10" t="s">
        <v>37</v>
      </c>
      <c r="AN1" s="10" t="s">
        <v>38</v>
      </c>
      <c r="AO1" s="10" t="s">
        <v>39</v>
      </c>
      <c r="AP1" s="3" t="s">
        <v>40</v>
      </c>
      <c r="AQ1" s="3" t="s">
        <v>41</v>
      </c>
    </row>
    <row r="2" spans="1:43">
      <c r="A2" s="4" t="s">
        <v>42</v>
      </c>
      <c r="B2" s="4" t="s">
        <v>43</v>
      </c>
      <c r="C2" s="4" t="s">
        <v>50</v>
      </c>
      <c r="D2" s="4" t="s">
        <v>51</v>
      </c>
      <c r="E2" s="4" t="s">
        <v>52</v>
      </c>
      <c r="F2" s="4" t="s">
        <v>53</v>
      </c>
      <c r="G2" s="4">
        <v>101</v>
      </c>
      <c r="H2" s="5">
        <v>8400000000</v>
      </c>
      <c r="I2" s="5">
        <v>600000000</v>
      </c>
      <c r="J2" s="5">
        <v>0</v>
      </c>
      <c r="K2" s="5">
        <v>600000000</v>
      </c>
      <c r="L2" s="5">
        <v>500000000</v>
      </c>
      <c r="M2" s="5">
        <v>10100000000</v>
      </c>
      <c r="N2" s="5">
        <v>120000000000</v>
      </c>
      <c r="O2" s="5">
        <v>0</v>
      </c>
      <c r="P2" s="5">
        <v>118800000000</v>
      </c>
      <c r="Q2" s="5">
        <v>80000000000</v>
      </c>
      <c r="R2" s="5">
        <v>120000000000</v>
      </c>
      <c r="S2" s="4" t="s">
        <v>48</v>
      </c>
      <c r="T2" s="4"/>
      <c r="U2" s="4">
        <v>0.99</v>
      </c>
      <c r="V2" s="4">
        <v>1188118811.88118</v>
      </c>
      <c r="W2" s="4">
        <v>1</v>
      </c>
      <c r="X2" s="6" t="s">
        <v>54</v>
      </c>
      <c r="Y2" s="4" t="s">
        <v>55</v>
      </c>
      <c r="Z2" s="4"/>
      <c r="AA2" s="4"/>
      <c r="AB2" s="11">
        <v>63000000000</v>
      </c>
      <c r="AC2" s="4"/>
      <c r="AD2" s="11"/>
      <c r="AE2" s="4"/>
      <c r="AF2" s="4"/>
      <c r="AG2" s="4"/>
      <c r="AH2" s="4">
        <v>0.47</v>
      </c>
      <c r="AI2" s="4" t="s">
        <v>345</v>
      </c>
      <c r="AJ2" s="4" t="s">
        <v>346</v>
      </c>
      <c r="AK2" s="4" t="s">
        <v>345</v>
      </c>
      <c r="AL2" s="4" t="s">
        <v>345</v>
      </c>
      <c r="AM2" s="4" t="s">
        <v>345</v>
      </c>
      <c r="AN2" s="4" t="s">
        <v>345</v>
      </c>
      <c r="AO2" s="4" t="s">
        <v>345</v>
      </c>
      <c r="AP2" s="7"/>
      <c r="AQ2" s="7"/>
    </row>
    <row r="3" spans="1:43">
      <c r="A3" s="4" t="s">
        <v>116</v>
      </c>
      <c r="B3" s="4" t="s">
        <v>43</v>
      </c>
      <c r="C3" s="4" t="s">
        <v>44</v>
      </c>
      <c r="D3" s="4" t="s">
        <v>117</v>
      </c>
      <c r="E3" s="4" t="s">
        <v>118</v>
      </c>
      <c r="F3" s="4" t="s">
        <v>119</v>
      </c>
      <c r="G3" s="4">
        <v>79</v>
      </c>
      <c r="H3" s="5">
        <v>3753918000</v>
      </c>
      <c r="I3" s="5">
        <v>0</v>
      </c>
      <c r="J3" s="5">
        <v>0</v>
      </c>
      <c r="K3" s="5">
        <v>0</v>
      </c>
      <c r="L3" s="5">
        <v>25800000</v>
      </c>
      <c r="M3" s="5">
        <v>3779718000</v>
      </c>
      <c r="N3" s="5">
        <v>90750000000</v>
      </c>
      <c r="O3" s="5">
        <v>0</v>
      </c>
      <c r="P3" s="5">
        <v>90750000000</v>
      </c>
      <c r="Q3" s="5">
        <v>100000000</v>
      </c>
      <c r="R3" s="5">
        <v>90750000000</v>
      </c>
      <c r="S3" s="4" t="s">
        <v>48</v>
      </c>
      <c r="T3" s="4"/>
      <c r="U3" s="4">
        <v>1</v>
      </c>
      <c r="V3" s="4">
        <v>1148734177.2151899</v>
      </c>
      <c r="W3" s="4">
        <v>1</v>
      </c>
      <c r="X3" s="6" t="s">
        <v>120</v>
      </c>
      <c r="Y3" s="4"/>
      <c r="Z3" s="4"/>
      <c r="AA3" s="4"/>
      <c r="AB3" s="11">
        <v>48097500000</v>
      </c>
      <c r="AC3" s="4"/>
      <c r="AD3" s="11">
        <v>3779718000</v>
      </c>
      <c r="AE3" s="4"/>
      <c r="AF3" s="4"/>
      <c r="AG3" s="4"/>
      <c r="AH3" s="4">
        <v>0.42835021487603303</v>
      </c>
      <c r="AI3" s="4" t="s">
        <v>345</v>
      </c>
      <c r="AJ3" s="4" t="s">
        <v>346</v>
      </c>
      <c r="AK3" s="4" t="s">
        <v>345</v>
      </c>
      <c r="AL3" s="4" t="s">
        <v>346</v>
      </c>
      <c r="AM3" s="4" t="s">
        <v>345</v>
      </c>
      <c r="AN3" s="4" t="s">
        <v>345</v>
      </c>
      <c r="AO3" s="4" t="s">
        <v>345</v>
      </c>
      <c r="AP3" s="7"/>
      <c r="AQ3" s="7"/>
    </row>
    <row r="4" spans="1:43">
      <c r="A4" s="4" t="s">
        <v>56</v>
      </c>
      <c r="B4" s="4" t="s">
        <v>43</v>
      </c>
      <c r="C4" s="4" t="s">
        <v>137</v>
      </c>
      <c r="D4" s="4" t="s">
        <v>122</v>
      </c>
      <c r="E4" s="4" t="s">
        <v>207</v>
      </c>
      <c r="F4" s="4" t="s">
        <v>208</v>
      </c>
      <c r="G4" s="4">
        <v>15</v>
      </c>
      <c r="H4" s="5">
        <v>540000000</v>
      </c>
      <c r="I4" s="5">
        <v>1000000000</v>
      </c>
      <c r="J4" s="5">
        <v>0</v>
      </c>
      <c r="K4" s="5">
        <v>12000000</v>
      </c>
      <c r="L4" s="5">
        <v>300000</v>
      </c>
      <c r="M4" s="5">
        <v>1552300000</v>
      </c>
      <c r="N4" s="5">
        <v>118800000000</v>
      </c>
      <c r="O4" s="5">
        <v>0</v>
      </c>
      <c r="P4" s="5">
        <v>117788000000</v>
      </c>
      <c r="Q4" s="5">
        <v>1000000000</v>
      </c>
      <c r="R4" s="5">
        <v>118800000000</v>
      </c>
      <c r="S4" s="4" t="s">
        <v>48</v>
      </c>
      <c r="T4" s="4"/>
      <c r="U4" s="4">
        <v>0.99148099999999995</v>
      </c>
      <c r="V4" s="4">
        <v>7920000000</v>
      </c>
      <c r="W4" s="4">
        <v>1</v>
      </c>
      <c r="X4" s="6" t="s">
        <v>209</v>
      </c>
      <c r="Y4" s="4"/>
      <c r="Z4" s="4"/>
      <c r="AA4" s="4"/>
      <c r="AB4" s="11">
        <v>61964000000</v>
      </c>
      <c r="AC4" s="4"/>
      <c r="AD4" s="11">
        <v>1000000000</v>
      </c>
      <c r="AE4" s="4"/>
      <c r="AF4" s="4"/>
      <c r="AG4" s="4"/>
      <c r="AH4" s="4">
        <v>0.47</v>
      </c>
      <c r="AI4" s="4" t="s">
        <v>345</v>
      </c>
      <c r="AJ4" s="4" t="s">
        <v>346</v>
      </c>
      <c r="AK4" s="4" t="s">
        <v>345</v>
      </c>
      <c r="AL4" s="4" t="s">
        <v>346</v>
      </c>
      <c r="AM4" s="4" t="s">
        <v>345</v>
      </c>
      <c r="AN4" s="4" t="s">
        <v>345</v>
      </c>
      <c r="AO4" s="4" t="s">
        <v>345</v>
      </c>
      <c r="AP4" s="7"/>
      <c r="AQ4" s="7"/>
    </row>
    <row r="5" spans="1:43">
      <c r="A5" s="4" t="s">
        <v>63</v>
      </c>
      <c r="B5" s="4" t="s">
        <v>43</v>
      </c>
      <c r="C5" s="4" t="s">
        <v>137</v>
      </c>
      <c r="D5" s="4" t="s">
        <v>210</v>
      </c>
      <c r="E5" s="4" t="s">
        <v>211</v>
      </c>
      <c r="F5" s="4" t="s">
        <v>212</v>
      </c>
      <c r="G5" s="4">
        <v>570</v>
      </c>
      <c r="H5" s="5">
        <v>2506000220</v>
      </c>
      <c r="I5" s="5">
        <v>0</v>
      </c>
      <c r="J5" s="5">
        <v>0</v>
      </c>
      <c r="K5" s="5">
        <v>0</v>
      </c>
      <c r="L5" s="5">
        <v>0</v>
      </c>
      <c r="M5" s="5">
        <v>2506000220</v>
      </c>
      <c r="N5" s="5">
        <v>644317966925</v>
      </c>
      <c r="O5" s="5">
        <v>0</v>
      </c>
      <c r="P5" s="5">
        <v>644317966925</v>
      </c>
      <c r="Q5" s="5">
        <v>143806038465</v>
      </c>
      <c r="R5" s="5">
        <v>644317966925</v>
      </c>
      <c r="S5" s="4" t="s">
        <v>48</v>
      </c>
      <c r="T5" s="4"/>
      <c r="U5" s="4">
        <v>1</v>
      </c>
      <c r="V5" s="4">
        <v>1130382398.1140299</v>
      </c>
      <c r="W5" s="4">
        <v>1</v>
      </c>
      <c r="X5" s="6" t="s">
        <v>213</v>
      </c>
      <c r="Y5" s="4" t="s">
        <v>55</v>
      </c>
      <c r="Z5" s="4"/>
      <c r="AA5" s="4"/>
      <c r="AB5" s="11">
        <v>341488522470.25</v>
      </c>
      <c r="AC5" s="4"/>
      <c r="AD5" s="11">
        <v>2506000220</v>
      </c>
      <c r="AE5" s="4"/>
      <c r="AF5" s="4"/>
      <c r="AG5" s="4"/>
      <c r="AH5" s="4">
        <v>0.46611061564531586</v>
      </c>
      <c r="AI5" s="4" t="s">
        <v>345</v>
      </c>
      <c r="AJ5" s="4" t="s">
        <v>346</v>
      </c>
      <c r="AK5" s="4" t="s">
        <v>345</v>
      </c>
      <c r="AL5" s="4" t="s">
        <v>346</v>
      </c>
      <c r="AM5" s="4" t="s">
        <v>345</v>
      </c>
      <c r="AN5" s="4" t="s">
        <v>345</v>
      </c>
      <c r="AO5" s="4" t="s">
        <v>345</v>
      </c>
      <c r="AP5" s="7"/>
      <c r="AQ5" s="7"/>
    </row>
    <row r="6" spans="1:43">
      <c r="A6" s="4" t="s">
        <v>56</v>
      </c>
      <c r="B6" s="4" t="s">
        <v>43</v>
      </c>
      <c r="C6" s="4" t="s">
        <v>214</v>
      </c>
      <c r="D6" s="4" t="s">
        <v>215</v>
      </c>
      <c r="E6" s="4" t="s">
        <v>216</v>
      </c>
      <c r="F6" s="4" t="s">
        <v>217</v>
      </c>
      <c r="G6" s="4">
        <v>15</v>
      </c>
      <c r="H6" s="5">
        <v>522000000</v>
      </c>
      <c r="I6" s="5">
        <v>488700000</v>
      </c>
      <c r="J6" s="5">
        <v>0</v>
      </c>
      <c r="K6" s="5">
        <v>22600000</v>
      </c>
      <c r="L6" s="5">
        <v>33600000</v>
      </c>
      <c r="M6" s="5">
        <v>1066900000</v>
      </c>
      <c r="N6" s="5">
        <v>5000000000</v>
      </c>
      <c r="O6" s="5">
        <v>0</v>
      </c>
      <c r="P6" s="5">
        <v>499488700000</v>
      </c>
      <c r="Q6" s="5">
        <v>0</v>
      </c>
      <c r="R6" s="5">
        <v>500000000000</v>
      </c>
      <c r="S6" s="4" t="s">
        <v>48</v>
      </c>
      <c r="T6" s="4"/>
      <c r="U6" s="4">
        <v>0.998977</v>
      </c>
      <c r="V6" s="4">
        <v>33333333333.333302</v>
      </c>
      <c r="W6" s="4">
        <v>1</v>
      </c>
      <c r="X6" s="6" t="s">
        <v>218</v>
      </c>
      <c r="Y6" s="4"/>
      <c r="Z6" s="4"/>
      <c r="AA6" s="4"/>
      <c r="AB6" s="4"/>
      <c r="AC6" s="4"/>
      <c r="AD6" s="11">
        <v>2161300000</v>
      </c>
      <c r="AE6" s="4"/>
      <c r="AF6" s="11">
        <v>5000000000</v>
      </c>
      <c r="AG6" s="4"/>
      <c r="AH6" s="4">
        <v>0.47</v>
      </c>
      <c r="AI6" s="4" t="s">
        <v>345</v>
      </c>
      <c r="AJ6" s="4" t="s">
        <v>345</v>
      </c>
      <c r="AK6" s="4" t="s">
        <v>345</v>
      </c>
      <c r="AL6" s="4" t="s">
        <v>346</v>
      </c>
      <c r="AM6" s="4" t="s">
        <v>345</v>
      </c>
      <c r="AN6" s="4" t="s">
        <v>346</v>
      </c>
      <c r="AO6" s="4" t="s">
        <v>345</v>
      </c>
      <c r="AP6" s="7"/>
      <c r="AQ6" s="7"/>
    </row>
    <row r="7" spans="1:43">
      <c r="A7" s="4" t="s">
        <v>63</v>
      </c>
      <c r="B7" s="4" t="s">
        <v>43</v>
      </c>
      <c r="C7" s="4" t="s">
        <v>137</v>
      </c>
      <c r="D7" s="4" t="s">
        <v>225</v>
      </c>
      <c r="E7" s="4" t="s">
        <v>226</v>
      </c>
      <c r="F7" s="4" t="s">
        <v>227</v>
      </c>
      <c r="G7" s="4">
        <v>413</v>
      </c>
      <c r="H7" s="5">
        <v>145858000</v>
      </c>
      <c r="I7" s="5">
        <v>0</v>
      </c>
      <c r="J7" s="5">
        <v>0</v>
      </c>
      <c r="K7" s="5">
        <v>0</v>
      </c>
      <c r="L7" s="5">
        <v>0</v>
      </c>
      <c r="M7" s="5">
        <v>145858000</v>
      </c>
      <c r="N7" s="5">
        <v>112000000000</v>
      </c>
      <c r="O7" s="5">
        <v>0</v>
      </c>
      <c r="P7" s="5">
        <v>112000000000</v>
      </c>
      <c r="Q7" s="5">
        <v>2705917020</v>
      </c>
      <c r="R7" s="5">
        <v>112000000000</v>
      </c>
      <c r="S7" s="4" t="s">
        <v>48</v>
      </c>
      <c r="T7" s="4"/>
      <c r="U7" s="4">
        <v>1</v>
      </c>
      <c r="V7" s="4">
        <v>271186440.677966</v>
      </c>
      <c r="W7" s="4">
        <v>1</v>
      </c>
      <c r="X7" s="6" t="s">
        <v>228</v>
      </c>
      <c r="Y7" s="4" t="s">
        <v>229</v>
      </c>
      <c r="Z7" s="4"/>
      <c r="AA7" s="4"/>
      <c r="AB7" s="11">
        <v>145858000</v>
      </c>
      <c r="AC7" s="4"/>
      <c r="AD7" s="11">
        <v>59360000000</v>
      </c>
      <c r="AE7" s="4"/>
      <c r="AF7" s="4"/>
      <c r="AG7" s="4"/>
      <c r="AH7" s="4">
        <v>0.47</v>
      </c>
      <c r="AI7" s="4" t="s">
        <v>345</v>
      </c>
      <c r="AJ7" s="4" t="s">
        <v>346</v>
      </c>
      <c r="AK7" s="4" t="s">
        <v>345</v>
      </c>
      <c r="AL7" s="4" t="s">
        <v>346</v>
      </c>
      <c r="AM7" s="4" t="s">
        <v>345</v>
      </c>
      <c r="AN7" s="4" t="s">
        <v>345</v>
      </c>
      <c r="AO7" s="4" t="s">
        <v>345</v>
      </c>
      <c r="AP7" s="7"/>
      <c r="AQ7" s="7"/>
    </row>
    <row r="8" spans="1:43">
      <c r="A8" s="4" t="s">
        <v>238</v>
      </c>
      <c r="B8" s="4" t="s">
        <v>43</v>
      </c>
      <c r="C8" s="4" t="s">
        <v>239</v>
      </c>
      <c r="D8" s="4" t="s">
        <v>138</v>
      </c>
      <c r="E8" s="4" t="s">
        <v>240</v>
      </c>
      <c r="F8" s="4" t="s">
        <v>241</v>
      </c>
      <c r="G8" s="4">
        <v>21</v>
      </c>
      <c r="H8" s="5">
        <v>120000000</v>
      </c>
      <c r="I8" s="5">
        <v>580000000</v>
      </c>
      <c r="J8" s="5">
        <v>0</v>
      </c>
      <c r="K8" s="5">
        <v>212000000</v>
      </c>
      <c r="L8" s="5">
        <v>60000000</v>
      </c>
      <c r="M8" s="5">
        <v>972000000</v>
      </c>
      <c r="N8" s="5">
        <v>110000000000</v>
      </c>
      <c r="O8" s="5">
        <v>0</v>
      </c>
      <c r="P8" s="5">
        <v>109208000000</v>
      </c>
      <c r="Q8" s="5">
        <v>915000000</v>
      </c>
      <c r="R8" s="5">
        <v>110000000000</v>
      </c>
      <c r="S8" s="4" t="s">
        <v>48</v>
      </c>
      <c r="T8" s="4"/>
      <c r="U8" s="4">
        <v>0.99280000000000002</v>
      </c>
      <c r="V8" s="4">
        <v>5238095238.0952301</v>
      </c>
      <c r="W8" s="4">
        <v>1</v>
      </c>
      <c r="X8" s="6" t="s">
        <v>242</v>
      </c>
      <c r="Y8" s="4" t="s">
        <v>55</v>
      </c>
      <c r="Z8" s="4"/>
      <c r="AA8" s="4"/>
      <c r="AB8" s="4"/>
      <c r="AC8" s="4"/>
      <c r="AD8" s="11">
        <v>57720000000</v>
      </c>
      <c r="AE8" s="4"/>
      <c r="AF8" s="4"/>
      <c r="AG8" s="4"/>
      <c r="AH8" s="4">
        <v>0.47</v>
      </c>
      <c r="AI8" s="4" t="s">
        <v>345</v>
      </c>
      <c r="AJ8" s="4" t="s">
        <v>345</v>
      </c>
      <c r="AK8" s="4" t="s">
        <v>345</v>
      </c>
      <c r="AL8" s="4" t="s">
        <v>346</v>
      </c>
      <c r="AM8" s="4" t="s">
        <v>345</v>
      </c>
      <c r="AN8" s="4" t="s">
        <v>345</v>
      </c>
      <c r="AO8" s="4" t="s">
        <v>345</v>
      </c>
      <c r="AP8" s="7"/>
      <c r="AQ8" s="7"/>
    </row>
    <row r="9" spans="1:43">
      <c r="A9" s="4" t="s">
        <v>81</v>
      </c>
      <c r="B9" s="4" t="s">
        <v>43</v>
      </c>
      <c r="C9" s="4" t="s">
        <v>152</v>
      </c>
      <c r="D9" s="4" t="s">
        <v>259</v>
      </c>
      <c r="E9" s="4" t="s">
        <v>260</v>
      </c>
      <c r="F9" s="4" t="s">
        <v>261</v>
      </c>
      <c r="G9" s="4">
        <v>30</v>
      </c>
      <c r="H9" s="5">
        <v>999000000</v>
      </c>
      <c r="I9" s="5">
        <v>10000000000</v>
      </c>
      <c r="J9" s="5">
        <v>0</v>
      </c>
      <c r="K9" s="5">
        <v>100000000</v>
      </c>
      <c r="L9" s="5">
        <v>50000000</v>
      </c>
      <c r="M9" s="5">
        <v>11149000000</v>
      </c>
      <c r="N9" s="5">
        <v>89000000000</v>
      </c>
      <c r="O9" s="5">
        <v>1000000000</v>
      </c>
      <c r="P9" s="5">
        <v>78900000000</v>
      </c>
      <c r="Q9" s="5">
        <v>20000000000</v>
      </c>
      <c r="R9" s="5">
        <v>89000000000</v>
      </c>
      <c r="S9" s="4" t="s">
        <v>48</v>
      </c>
      <c r="T9" s="4"/>
      <c r="U9" s="4">
        <v>0.886517</v>
      </c>
      <c r="V9" s="4">
        <v>2966666666.6666598</v>
      </c>
      <c r="W9" s="4">
        <v>1</v>
      </c>
      <c r="X9" s="6" t="s">
        <v>262</v>
      </c>
      <c r="Y9" s="4"/>
      <c r="Z9" s="4"/>
      <c r="AA9" s="4"/>
      <c r="AB9" s="4"/>
      <c r="AC9" s="4"/>
      <c r="AD9" s="11">
        <v>37170000000</v>
      </c>
      <c r="AE9" s="4"/>
      <c r="AF9" s="4"/>
      <c r="AG9" s="4"/>
      <c r="AH9" s="4">
        <v>0.47</v>
      </c>
      <c r="AI9" s="4" t="s">
        <v>345</v>
      </c>
      <c r="AJ9" s="4" t="s">
        <v>345</v>
      </c>
      <c r="AK9" s="4" t="s">
        <v>345</v>
      </c>
      <c r="AL9" s="4" t="s">
        <v>346</v>
      </c>
      <c r="AM9" s="4" t="s">
        <v>345</v>
      </c>
      <c r="AN9" s="4" t="s">
        <v>345</v>
      </c>
      <c r="AO9" s="4" t="s">
        <v>345</v>
      </c>
      <c r="AP9" s="7"/>
      <c r="AQ9" s="7"/>
    </row>
    <row r="10" spans="1:43">
      <c r="A10" s="4" t="s">
        <v>63</v>
      </c>
      <c r="B10" s="4" t="s">
        <v>43</v>
      </c>
      <c r="C10" s="4" t="s">
        <v>137</v>
      </c>
      <c r="D10" s="4" t="s">
        <v>76</v>
      </c>
      <c r="E10" s="4" t="s">
        <v>263</v>
      </c>
      <c r="F10" s="4" t="s">
        <v>264</v>
      </c>
      <c r="G10" s="4">
        <v>24</v>
      </c>
      <c r="H10" s="5">
        <v>1872000000</v>
      </c>
      <c r="I10" s="5">
        <v>15000000000</v>
      </c>
      <c r="J10" s="5">
        <v>0</v>
      </c>
      <c r="K10" s="5">
        <v>125000000</v>
      </c>
      <c r="L10" s="5">
        <v>0</v>
      </c>
      <c r="M10" s="5">
        <v>16997000000</v>
      </c>
      <c r="N10" s="5">
        <v>175000000000</v>
      </c>
      <c r="O10" s="5">
        <v>0</v>
      </c>
      <c r="P10" s="5">
        <v>159875000000</v>
      </c>
      <c r="Q10" s="5">
        <v>0</v>
      </c>
      <c r="R10" s="5">
        <v>175000000000</v>
      </c>
      <c r="S10" s="4" t="s">
        <v>48</v>
      </c>
      <c r="T10" s="4" t="s">
        <v>98</v>
      </c>
      <c r="U10" s="4">
        <v>0.91357100000000002</v>
      </c>
      <c r="V10" s="4">
        <v>7291666666.6666603</v>
      </c>
      <c r="W10" s="4">
        <v>1</v>
      </c>
      <c r="X10" s="6" t="s">
        <v>265</v>
      </c>
      <c r="Y10" s="4"/>
      <c r="Z10" s="4"/>
      <c r="AA10" s="4"/>
      <c r="AB10" s="4"/>
      <c r="AC10" s="4"/>
      <c r="AD10" s="11">
        <v>77750000000</v>
      </c>
      <c r="AE10" s="4"/>
      <c r="AF10" s="4"/>
      <c r="AG10" s="4"/>
      <c r="AH10" s="4">
        <v>0.47</v>
      </c>
      <c r="AI10" s="4" t="s">
        <v>345</v>
      </c>
      <c r="AJ10" s="4" t="s">
        <v>345</v>
      </c>
      <c r="AK10" s="4" t="s">
        <v>345</v>
      </c>
      <c r="AL10" s="4" t="s">
        <v>346</v>
      </c>
      <c r="AM10" s="4" t="s">
        <v>345</v>
      </c>
      <c r="AN10" s="4" t="s">
        <v>345</v>
      </c>
      <c r="AO10" s="4" t="s">
        <v>345</v>
      </c>
      <c r="AP10" s="7"/>
      <c r="AQ10" s="7"/>
    </row>
    <row r="11" spans="1:43">
      <c r="A11" s="4" t="s">
        <v>81</v>
      </c>
      <c r="B11" s="4" t="s">
        <v>43</v>
      </c>
      <c r="C11" s="4" t="s">
        <v>152</v>
      </c>
      <c r="D11" s="4" t="s">
        <v>138</v>
      </c>
      <c r="E11" s="4" t="s">
        <v>290</v>
      </c>
      <c r="F11" s="4" t="s">
        <v>291</v>
      </c>
      <c r="G11" s="4">
        <v>55</v>
      </c>
      <c r="H11" s="5">
        <v>3870000000</v>
      </c>
      <c r="I11" s="5">
        <v>3815000000</v>
      </c>
      <c r="J11" s="5">
        <v>0</v>
      </c>
      <c r="K11" s="5">
        <v>2510000000</v>
      </c>
      <c r="L11" s="5">
        <v>1855000000</v>
      </c>
      <c r="M11" s="5">
        <v>12050000000</v>
      </c>
      <c r="N11" s="5">
        <v>68130000000</v>
      </c>
      <c r="O11" s="5">
        <v>0</v>
      </c>
      <c r="P11" s="5">
        <v>61805000000</v>
      </c>
      <c r="Q11" s="5">
        <v>6775000000</v>
      </c>
      <c r="R11" s="5">
        <v>68130000000</v>
      </c>
      <c r="S11" s="4" t="s">
        <v>48</v>
      </c>
      <c r="T11" s="4"/>
      <c r="U11" s="4">
        <v>0.90716300000000005</v>
      </c>
      <c r="V11" s="4">
        <v>1238727272.7272699</v>
      </c>
      <c r="W11" s="4">
        <v>1</v>
      </c>
      <c r="X11" s="6" t="s">
        <v>292</v>
      </c>
      <c r="Y11" s="4" t="s">
        <v>293</v>
      </c>
      <c r="Z11" s="4"/>
      <c r="AA11" s="4"/>
      <c r="AB11" s="4"/>
      <c r="AC11" s="4"/>
      <c r="AD11" s="11">
        <v>32293900000</v>
      </c>
      <c r="AE11" s="4"/>
      <c r="AF11" s="4"/>
      <c r="AG11" s="4"/>
      <c r="AH11" s="4">
        <v>0.47</v>
      </c>
      <c r="AI11" s="4" t="s">
        <v>345</v>
      </c>
      <c r="AJ11" s="4" t="s">
        <v>345</v>
      </c>
      <c r="AK11" s="4" t="s">
        <v>345</v>
      </c>
      <c r="AL11" s="4" t="s">
        <v>346</v>
      </c>
      <c r="AM11" s="4" t="s">
        <v>345</v>
      </c>
      <c r="AN11" s="4" t="s">
        <v>345</v>
      </c>
      <c r="AO11" s="4" t="s">
        <v>345</v>
      </c>
      <c r="AP11" s="7"/>
      <c r="AQ11" s="7"/>
    </row>
    <row r="12" spans="1:43">
      <c r="A12" s="4" t="s">
        <v>63</v>
      </c>
      <c r="B12" s="4" t="s">
        <v>43</v>
      </c>
      <c r="C12" s="4" t="s">
        <v>337</v>
      </c>
      <c r="D12" s="4" t="s">
        <v>122</v>
      </c>
      <c r="E12" s="4" t="s">
        <v>338</v>
      </c>
      <c r="F12" s="4" t="s">
        <v>339</v>
      </c>
      <c r="G12" s="4">
        <v>621</v>
      </c>
      <c r="H12" s="5">
        <v>159477523082</v>
      </c>
      <c r="I12" s="5">
        <v>1204076851130</v>
      </c>
      <c r="J12" s="5">
        <v>0</v>
      </c>
      <c r="K12" s="5">
        <v>95673864390</v>
      </c>
      <c r="L12" s="5">
        <v>1264049882272</v>
      </c>
      <c r="M12" s="5">
        <v>2723278120874</v>
      </c>
      <c r="N12" s="5">
        <v>406776486877</v>
      </c>
      <c r="O12" s="5">
        <v>2263492802475</v>
      </c>
      <c r="P12" s="5">
        <v>-892974228643</v>
      </c>
      <c r="Q12" s="5">
        <v>29672124910813</v>
      </c>
      <c r="R12" s="5">
        <v>406776486877</v>
      </c>
      <c r="S12" s="4" t="s">
        <v>48</v>
      </c>
      <c r="T12" s="4"/>
      <c r="U12" s="4">
        <v>-2.1952449999999999</v>
      </c>
      <c r="V12" s="4">
        <v>655034600.44605505</v>
      </c>
      <c r="W12" s="4">
        <v>1</v>
      </c>
      <c r="X12" s="6" t="s">
        <v>340</v>
      </c>
      <c r="Y12" s="4"/>
      <c r="Z12" s="4"/>
      <c r="AA12" s="4"/>
      <c r="AB12" s="4"/>
      <c r="AC12" s="4"/>
      <c r="AD12" s="11">
        <v>211165872226.56006</v>
      </c>
      <c r="AE12" s="4"/>
      <c r="AF12" s="11">
        <v>2670269289352</v>
      </c>
      <c r="AG12" s="11">
        <v>0</v>
      </c>
      <c r="AH12" s="4">
        <v>0.47</v>
      </c>
      <c r="AI12" s="4" t="s">
        <v>345</v>
      </c>
      <c r="AJ12" s="4" t="s">
        <v>345</v>
      </c>
      <c r="AK12" s="4" t="s">
        <v>345</v>
      </c>
      <c r="AL12" s="4" t="s">
        <v>346</v>
      </c>
      <c r="AM12" s="4" t="s">
        <v>345</v>
      </c>
      <c r="AN12" s="4" t="s">
        <v>346</v>
      </c>
      <c r="AO12" s="4" t="s">
        <v>346</v>
      </c>
      <c r="AP12" s="7"/>
      <c r="AQ12" s="7"/>
    </row>
    <row r="13" spans="1:43">
      <c r="A13" s="4" t="s">
        <v>63</v>
      </c>
      <c r="B13" s="4" t="s">
        <v>43</v>
      </c>
      <c r="C13" s="4" t="s">
        <v>337</v>
      </c>
      <c r="D13" s="4" t="s">
        <v>122</v>
      </c>
      <c r="E13" s="4" t="s">
        <v>338</v>
      </c>
      <c r="F13" s="4" t="s">
        <v>339</v>
      </c>
      <c r="G13" s="4">
        <v>621</v>
      </c>
      <c r="H13" s="5">
        <v>159477523082</v>
      </c>
      <c r="I13" s="5">
        <v>1204076851130</v>
      </c>
      <c r="J13" s="5">
        <v>0</v>
      </c>
      <c r="K13" s="5">
        <v>95673864390</v>
      </c>
      <c r="L13" s="5">
        <v>1264049882272</v>
      </c>
      <c r="M13" s="5">
        <v>2723278120874</v>
      </c>
      <c r="N13" s="5">
        <v>406776486877</v>
      </c>
      <c r="O13" s="5">
        <v>2263492802475</v>
      </c>
      <c r="P13" s="5">
        <v>-892974228643</v>
      </c>
      <c r="Q13" s="5">
        <v>29672124910813</v>
      </c>
      <c r="R13" s="5">
        <v>406776486877</v>
      </c>
      <c r="S13" s="4" t="s">
        <v>48</v>
      </c>
      <c r="T13" s="4"/>
      <c r="U13" s="4">
        <v>-2.1952449999999999</v>
      </c>
      <c r="V13" s="4">
        <v>655034600.44605505</v>
      </c>
      <c r="W13" s="4">
        <v>1</v>
      </c>
      <c r="X13" s="6" t="s">
        <v>340</v>
      </c>
      <c r="Y13" s="4"/>
      <c r="Z13" s="4"/>
      <c r="AA13" s="4"/>
      <c r="AB13" s="4"/>
      <c r="AC13" s="4"/>
      <c r="AD13" s="11">
        <v>211165872226.56006</v>
      </c>
      <c r="AE13" s="4"/>
      <c r="AF13" s="11">
        <v>2670269289352</v>
      </c>
      <c r="AG13" s="11">
        <v>0</v>
      </c>
      <c r="AH13" s="4">
        <v>0.47</v>
      </c>
      <c r="AI13" s="4" t="s">
        <v>345</v>
      </c>
      <c r="AJ13" s="4" t="s">
        <v>345</v>
      </c>
      <c r="AK13" s="4" t="s">
        <v>345</v>
      </c>
      <c r="AL13" s="4" t="s">
        <v>346</v>
      </c>
      <c r="AM13" s="4" t="s">
        <v>345</v>
      </c>
      <c r="AN13" s="4" t="s">
        <v>346</v>
      </c>
      <c r="AO13" s="4" t="s">
        <v>346</v>
      </c>
      <c r="AP13" s="7"/>
      <c r="AQ13" s="7"/>
    </row>
    <row r="14" spans="1:43">
      <c r="A14" s="4" t="s">
        <v>63</v>
      </c>
      <c r="B14" s="4" t="s">
        <v>43</v>
      </c>
      <c r="C14" s="4" t="s">
        <v>337</v>
      </c>
      <c r="D14" s="4" t="s">
        <v>122</v>
      </c>
      <c r="E14" s="4" t="s">
        <v>338</v>
      </c>
      <c r="F14" s="4" t="s">
        <v>339</v>
      </c>
      <c r="G14" s="4">
        <v>621</v>
      </c>
      <c r="H14" s="5">
        <v>159477523082</v>
      </c>
      <c r="I14" s="5">
        <v>1204076851130</v>
      </c>
      <c r="J14" s="5">
        <v>0</v>
      </c>
      <c r="K14" s="5">
        <v>95673864390</v>
      </c>
      <c r="L14" s="5">
        <v>1264049882272</v>
      </c>
      <c r="M14" s="5">
        <v>2723278120874</v>
      </c>
      <c r="N14" s="5">
        <v>406776486877</v>
      </c>
      <c r="O14" s="5">
        <v>2263492802475</v>
      </c>
      <c r="P14" s="5">
        <v>-892974228643</v>
      </c>
      <c r="Q14" s="5">
        <v>29672124910813</v>
      </c>
      <c r="R14" s="5">
        <v>406776486877</v>
      </c>
      <c r="S14" s="4" t="s">
        <v>48</v>
      </c>
      <c r="T14" s="4"/>
      <c r="U14" s="4">
        <v>-2.1952449999999999</v>
      </c>
      <c r="V14" s="4">
        <v>655034600.44605505</v>
      </c>
      <c r="W14" s="4">
        <v>1</v>
      </c>
      <c r="X14" s="6" t="s">
        <v>340</v>
      </c>
      <c r="Y14" s="4"/>
      <c r="Z14" s="4"/>
      <c r="AA14" s="4"/>
      <c r="AB14" s="4"/>
      <c r="AC14" s="4"/>
      <c r="AD14" s="11">
        <v>211165872226.56006</v>
      </c>
      <c r="AE14" s="4"/>
      <c r="AF14" s="11">
        <v>2670269289352</v>
      </c>
      <c r="AG14" s="11">
        <v>0</v>
      </c>
      <c r="AH14" s="4">
        <v>0.47</v>
      </c>
      <c r="AI14" s="4" t="s">
        <v>345</v>
      </c>
      <c r="AJ14" s="4" t="s">
        <v>345</v>
      </c>
      <c r="AK14" s="4" t="s">
        <v>345</v>
      </c>
      <c r="AL14" s="4" t="s">
        <v>346</v>
      </c>
      <c r="AM14" s="4" t="s">
        <v>345</v>
      </c>
      <c r="AN14" s="4" t="s">
        <v>346</v>
      </c>
      <c r="AO14" s="4" t="s">
        <v>346</v>
      </c>
      <c r="AP14" s="7"/>
      <c r="AQ14" s="7"/>
    </row>
    <row r="15" spans="1:43">
      <c r="A15" s="4" t="s">
        <v>56</v>
      </c>
      <c r="B15" s="4" t="s">
        <v>43</v>
      </c>
      <c r="C15" s="4" t="s">
        <v>57</v>
      </c>
      <c r="D15" s="4" t="s">
        <v>58</v>
      </c>
      <c r="E15" s="4" t="s">
        <v>59</v>
      </c>
      <c r="F15" s="4" t="s">
        <v>60</v>
      </c>
      <c r="G15" s="4">
        <v>130</v>
      </c>
      <c r="H15" s="5">
        <v>38400000000</v>
      </c>
      <c r="I15" s="5">
        <v>0</v>
      </c>
      <c r="J15" s="5">
        <v>0</v>
      </c>
      <c r="K15" s="5">
        <v>3840000000</v>
      </c>
      <c r="L15" s="5">
        <v>0</v>
      </c>
      <c r="M15" s="5">
        <v>42240000000</v>
      </c>
      <c r="N15" s="5">
        <v>288000000000</v>
      </c>
      <c r="O15" s="5">
        <v>0</v>
      </c>
      <c r="P15" s="5">
        <v>284160000000</v>
      </c>
      <c r="Q15" s="5">
        <v>0</v>
      </c>
      <c r="R15" s="5">
        <v>288000000000</v>
      </c>
      <c r="S15" s="4" t="s">
        <v>48</v>
      </c>
      <c r="T15" s="4"/>
      <c r="U15" s="4">
        <v>0.98666699999999996</v>
      </c>
      <c r="V15" s="4">
        <v>2215384615.3846102</v>
      </c>
      <c r="W15" s="4">
        <v>1</v>
      </c>
      <c r="X15" s="6" t="s">
        <v>61</v>
      </c>
      <c r="Y15" s="4" t="s">
        <v>62</v>
      </c>
      <c r="Z15" s="4"/>
      <c r="AA15" s="4"/>
      <c r="AB15" s="11">
        <v>3840000000</v>
      </c>
      <c r="AC15" s="4"/>
      <c r="AD15" s="11">
        <v>148800000000</v>
      </c>
      <c r="AE15" s="4"/>
      <c r="AF15" s="4"/>
      <c r="AG15" s="4"/>
      <c r="AH15" s="4">
        <v>0.48333333333333334</v>
      </c>
      <c r="AI15" s="4" t="s">
        <v>345</v>
      </c>
      <c r="AJ15" s="4" t="s">
        <v>346</v>
      </c>
      <c r="AK15" s="4" t="s">
        <v>345</v>
      </c>
      <c r="AL15" s="4" t="s">
        <v>346</v>
      </c>
      <c r="AM15" s="4" t="s">
        <v>345</v>
      </c>
      <c r="AN15" s="4" t="s">
        <v>345</v>
      </c>
      <c r="AO15" s="4" t="s">
        <v>345</v>
      </c>
      <c r="AP15" s="7"/>
      <c r="AQ15" s="7"/>
    </row>
    <row r="16" spans="1:43">
      <c r="A16" s="4" t="s">
        <v>68</v>
      </c>
      <c r="B16" s="4" t="s">
        <v>43</v>
      </c>
      <c r="C16" s="4" t="s">
        <v>75</v>
      </c>
      <c r="D16" s="4" t="s">
        <v>76</v>
      </c>
      <c r="E16" s="4" t="s">
        <v>77</v>
      </c>
      <c r="F16" s="4" t="s">
        <v>78</v>
      </c>
      <c r="G16" s="4">
        <v>15</v>
      </c>
      <c r="H16" s="5">
        <v>293568667000</v>
      </c>
      <c r="I16" s="5">
        <v>0</v>
      </c>
      <c r="J16" s="5">
        <v>0</v>
      </c>
      <c r="K16" s="5">
        <v>88931386000</v>
      </c>
      <c r="L16" s="5">
        <v>2073094976</v>
      </c>
      <c r="M16" s="5">
        <v>384573147976</v>
      </c>
      <c r="N16" s="5">
        <v>412545900184</v>
      </c>
      <c r="O16" s="5">
        <v>0</v>
      </c>
      <c r="P16" s="5">
        <v>323614514184</v>
      </c>
      <c r="Q16" s="5">
        <v>1000000000</v>
      </c>
      <c r="R16" s="5">
        <v>412545900184</v>
      </c>
      <c r="S16" s="4" t="s">
        <v>48</v>
      </c>
      <c r="T16" s="4"/>
      <c r="U16" s="4">
        <v>0.78443300000000005</v>
      </c>
      <c r="V16" s="4">
        <v>27503060012.266602</v>
      </c>
      <c r="W16" s="4">
        <v>1</v>
      </c>
      <c r="X16" s="6" t="s">
        <v>79</v>
      </c>
      <c r="Y16" s="4" t="s">
        <v>80</v>
      </c>
      <c r="Z16" s="4"/>
      <c r="AA16" s="4"/>
      <c r="AB16" s="11">
        <v>88931386000</v>
      </c>
      <c r="AC16" s="4"/>
      <c r="AD16" s="11">
        <v>129717941097.52002</v>
      </c>
      <c r="AE16" s="4"/>
      <c r="AF16" s="4"/>
      <c r="AG16" s="4"/>
      <c r="AH16" s="4">
        <v>0.68556725193568913</v>
      </c>
      <c r="AI16" s="4" t="s">
        <v>345</v>
      </c>
      <c r="AJ16" s="4" t="s">
        <v>346</v>
      </c>
      <c r="AK16" s="4" t="s">
        <v>345</v>
      </c>
      <c r="AL16" s="4" t="s">
        <v>346</v>
      </c>
      <c r="AM16" s="4" t="s">
        <v>345</v>
      </c>
      <c r="AN16" s="4" t="s">
        <v>345</v>
      </c>
      <c r="AO16" s="4" t="s">
        <v>345</v>
      </c>
      <c r="AP16" s="7"/>
      <c r="AQ16" s="7"/>
    </row>
    <row r="17" spans="1:43">
      <c r="A17" s="4" t="s">
        <v>63</v>
      </c>
      <c r="B17" s="4" t="s">
        <v>43</v>
      </c>
      <c r="C17" s="4" t="s">
        <v>75</v>
      </c>
      <c r="D17" s="4" t="s">
        <v>111</v>
      </c>
      <c r="E17" s="4" t="s">
        <v>112</v>
      </c>
      <c r="F17" s="4" t="s">
        <v>113</v>
      </c>
      <c r="G17" s="4">
        <v>600</v>
      </c>
      <c r="H17" s="5">
        <v>86400000000</v>
      </c>
      <c r="I17" s="5">
        <v>0</v>
      </c>
      <c r="J17" s="5">
        <v>0</v>
      </c>
      <c r="K17" s="5">
        <v>720000000</v>
      </c>
      <c r="L17" s="5">
        <v>12000000000</v>
      </c>
      <c r="M17" s="5">
        <v>99120000000</v>
      </c>
      <c r="N17" s="5">
        <v>99120000000</v>
      </c>
      <c r="O17" s="5">
        <v>0</v>
      </c>
      <c r="P17" s="5">
        <v>98400000000</v>
      </c>
      <c r="Q17" s="5">
        <v>99999999</v>
      </c>
      <c r="R17" s="5">
        <v>99120000000</v>
      </c>
      <c r="S17" s="4" t="s">
        <v>48</v>
      </c>
      <c r="T17" s="4"/>
      <c r="U17" s="4">
        <v>0.99273599999999995</v>
      </c>
      <c r="V17" s="4">
        <v>165200000</v>
      </c>
      <c r="W17" s="4">
        <v>1</v>
      </c>
      <c r="X17" s="6" t="s">
        <v>114</v>
      </c>
      <c r="Y17" s="4" t="s">
        <v>115</v>
      </c>
      <c r="Z17" s="4"/>
      <c r="AA17" s="4"/>
      <c r="AB17" s="11">
        <v>720000000</v>
      </c>
      <c r="AC17" s="4"/>
      <c r="AD17" s="11">
        <v>51813600000</v>
      </c>
      <c r="AE17" s="4"/>
      <c r="AF17" s="4"/>
      <c r="AG17" s="4"/>
      <c r="AH17" s="4">
        <v>0.4772639225181598</v>
      </c>
      <c r="AI17" s="4" t="s">
        <v>345</v>
      </c>
      <c r="AJ17" s="4" t="s">
        <v>346</v>
      </c>
      <c r="AK17" s="4" t="s">
        <v>345</v>
      </c>
      <c r="AL17" s="4" t="s">
        <v>346</v>
      </c>
      <c r="AM17" s="4" t="s">
        <v>345</v>
      </c>
      <c r="AN17" s="4" t="s">
        <v>345</v>
      </c>
      <c r="AO17" s="4" t="s">
        <v>345</v>
      </c>
      <c r="AP17" s="7"/>
      <c r="AQ17" s="7"/>
    </row>
    <row r="18" spans="1:43">
      <c r="A18" s="4" t="s">
        <v>121</v>
      </c>
      <c r="B18" s="4" t="s">
        <v>43</v>
      </c>
      <c r="C18" s="4" t="s">
        <v>69</v>
      </c>
      <c r="D18" s="4" t="s">
        <v>122</v>
      </c>
      <c r="E18" s="4" t="s">
        <v>123</v>
      </c>
      <c r="F18" s="4" t="s">
        <v>124</v>
      </c>
      <c r="G18" s="4">
        <v>368</v>
      </c>
      <c r="H18" s="5">
        <v>21644152865</v>
      </c>
      <c r="I18" s="5">
        <v>0</v>
      </c>
      <c r="J18" s="5">
        <v>0</v>
      </c>
      <c r="K18" s="5">
        <v>56885422240</v>
      </c>
      <c r="L18" s="5">
        <v>17476491218</v>
      </c>
      <c r="M18" s="5">
        <v>96006066323</v>
      </c>
      <c r="N18" s="5">
        <v>417624155496</v>
      </c>
      <c r="O18" s="5">
        <v>286086508069</v>
      </c>
      <c r="P18" s="5">
        <v>360738733256</v>
      </c>
      <c r="Q18" s="5">
        <v>3209886909</v>
      </c>
      <c r="R18" s="5">
        <v>417624155496</v>
      </c>
      <c r="S18" s="4" t="s">
        <v>48</v>
      </c>
      <c r="T18" s="4"/>
      <c r="U18" s="4">
        <v>0.863788</v>
      </c>
      <c r="V18" s="4">
        <v>1134848248.63043</v>
      </c>
      <c r="W18" s="4">
        <v>1</v>
      </c>
      <c r="X18" s="6" t="s">
        <v>125</v>
      </c>
      <c r="Y18" s="4"/>
      <c r="Z18" s="4"/>
      <c r="AA18" s="4"/>
      <c r="AB18" s="11">
        <v>56885422240</v>
      </c>
      <c r="AC18" s="4"/>
      <c r="AD18" s="11">
        <v>164455380172.88</v>
      </c>
      <c r="AE18" s="4"/>
      <c r="AF18" s="4"/>
      <c r="AG18" s="4"/>
      <c r="AH18" s="4">
        <v>0.60621200184754365</v>
      </c>
      <c r="AI18" s="4" t="s">
        <v>345</v>
      </c>
      <c r="AJ18" s="4" t="s">
        <v>346</v>
      </c>
      <c r="AK18" s="4" t="s">
        <v>345</v>
      </c>
      <c r="AL18" s="4" t="s">
        <v>346</v>
      </c>
      <c r="AM18" s="4" t="s">
        <v>345</v>
      </c>
      <c r="AN18" s="4" t="s">
        <v>345</v>
      </c>
      <c r="AO18" s="4" t="s">
        <v>345</v>
      </c>
      <c r="AP18" s="7"/>
      <c r="AQ18" s="7"/>
    </row>
    <row r="19" spans="1:43">
      <c r="A19" s="4" t="s">
        <v>56</v>
      </c>
      <c r="B19" s="4" t="s">
        <v>43</v>
      </c>
      <c r="C19" s="4" t="s">
        <v>126</v>
      </c>
      <c r="D19" s="4" t="s">
        <v>127</v>
      </c>
      <c r="E19" s="4" t="s">
        <v>128</v>
      </c>
      <c r="F19" s="4" t="s">
        <v>129</v>
      </c>
      <c r="G19" s="4">
        <v>250</v>
      </c>
      <c r="H19" s="5">
        <v>15684000000</v>
      </c>
      <c r="I19" s="5">
        <v>0</v>
      </c>
      <c r="J19" s="5">
        <v>0</v>
      </c>
      <c r="K19" s="5">
        <v>11509000000</v>
      </c>
      <c r="L19" s="5">
        <v>38125000000</v>
      </c>
      <c r="M19" s="5">
        <v>65318000000</v>
      </c>
      <c r="N19" s="5">
        <v>70859000000</v>
      </c>
      <c r="O19" s="5">
        <v>0</v>
      </c>
      <c r="P19" s="5">
        <v>59350000000</v>
      </c>
      <c r="Q19" s="5">
        <v>10000000000</v>
      </c>
      <c r="R19" s="5">
        <v>70859000000</v>
      </c>
      <c r="S19" s="4" t="s">
        <v>48</v>
      </c>
      <c r="T19" s="4" t="s">
        <v>130</v>
      </c>
      <c r="U19" s="4">
        <v>0.83757899999999996</v>
      </c>
      <c r="V19" s="4">
        <v>283436000</v>
      </c>
      <c r="W19" s="4">
        <v>1</v>
      </c>
      <c r="X19" s="6" t="s">
        <v>131</v>
      </c>
      <c r="Y19" s="4"/>
      <c r="Z19" s="4"/>
      <c r="AA19" s="4"/>
      <c r="AB19" s="11">
        <v>11509000000</v>
      </c>
      <c r="AC19" s="4"/>
      <c r="AD19" s="11">
        <v>26046270000</v>
      </c>
      <c r="AE19" s="4"/>
      <c r="AF19" s="4"/>
      <c r="AG19" s="4"/>
      <c r="AH19" s="4">
        <v>0.63242114621995793</v>
      </c>
      <c r="AI19" s="4" t="s">
        <v>345</v>
      </c>
      <c r="AJ19" s="4" t="s">
        <v>346</v>
      </c>
      <c r="AK19" s="4" t="s">
        <v>345</v>
      </c>
      <c r="AL19" s="4" t="s">
        <v>346</v>
      </c>
      <c r="AM19" s="4" t="s">
        <v>345</v>
      </c>
      <c r="AN19" s="4" t="s">
        <v>345</v>
      </c>
      <c r="AO19" s="4" t="s">
        <v>345</v>
      </c>
      <c r="AP19" s="7"/>
      <c r="AQ19" s="7"/>
    </row>
    <row r="20" spans="1:43">
      <c r="A20" s="4" t="s">
        <v>63</v>
      </c>
      <c r="B20" s="4" t="s">
        <v>43</v>
      </c>
      <c r="C20" s="4" t="s">
        <v>137</v>
      </c>
      <c r="D20" s="4" t="s">
        <v>138</v>
      </c>
      <c r="E20" s="4" t="s">
        <v>139</v>
      </c>
      <c r="F20" s="4" t="s">
        <v>140</v>
      </c>
      <c r="G20" s="4">
        <v>198</v>
      </c>
      <c r="H20" s="5">
        <v>11760000000</v>
      </c>
      <c r="I20" s="5">
        <v>0</v>
      </c>
      <c r="J20" s="5">
        <v>0</v>
      </c>
      <c r="K20" s="5">
        <v>378400000</v>
      </c>
      <c r="L20" s="5">
        <v>12000000</v>
      </c>
      <c r="M20" s="5">
        <v>12150400000</v>
      </c>
      <c r="N20" s="5">
        <v>50520000000</v>
      </c>
      <c r="O20" s="5">
        <v>0</v>
      </c>
      <c r="P20" s="5">
        <v>50141600000</v>
      </c>
      <c r="Q20" s="5">
        <v>5500000000</v>
      </c>
      <c r="R20" s="5">
        <v>50520000000</v>
      </c>
      <c r="S20" s="4" t="s">
        <v>48</v>
      </c>
      <c r="T20" s="4"/>
      <c r="U20" s="4">
        <v>0.99251</v>
      </c>
      <c r="V20" s="4">
        <v>255151515.15151501</v>
      </c>
      <c r="W20" s="4">
        <v>1</v>
      </c>
      <c r="X20" s="6" t="s">
        <v>141</v>
      </c>
      <c r="Y20" s="4"/>
      <c r="Z20" s="4"/>
      <c r="AA20" s="4"/>
      <c r="AB20" s="11">
        <v>378400000</v>
      </c>
      <c r="AC20" s="4"/>
      <c r="AD20" s="11">
        <v>26397200000</v>
      </c>
      <c r="AE20" s="4"/>
      <c r="AF20" s="4"/>
      <c r="AG20" s="4"/>
      <c r="AH20" s="4">
        <v>0.47749010292953287</v>
      </c>
      <c r="AI20" s="4" t="s">
        <v>345</v>
      </c>
      <c r="AJ20" s="4" t="s">
        <v>346</v>
      </c>
      <c r="AK20" s="4" t="s">
        <v>345</v>
      </c>
      <c r="AL20" s="4" t="s">
        <v>346</v>
      </c>
      <c r="AM20" s="4" t="s">
        <v>345</v>
      </c>
      <c r="AN20" s="4" t="s">
        <v>345</v>
      </c>
      <c r="AO20" s="4" t="s">
        <v>345</v>
      </c>
      <c r="AP20" s="7"/>
      <c r="AQ20" s="7"/>
    </row>
    <row r="21" spans="1:43">
      <c r="A21" s="4" t="s">
        <v>81</v>
      </c>
      <c r="B21" s="4" t="s">
        <v>43</v>
      </c>
      <c r="C21" s="4" t="s">
        <v>126</v>
      </c>
      <c r="D21" s="4" t="s">
        <v>122</v>
      </c>
      <c r="E21" s="4" t="s">
        <v>169</v>
      </c>
      <c r="F21" s="4" t="s">
        <v>170</v>
      </c>
      <c r="G21" s="4">
        <v>177</v>
      </c>
      <c r="H21" s="5">
        <v>3823200000</v>
      </c>
      <c r="I21" s="5">
        <v>6000000</v>
      </c>
      <c r="J21" s="5">
        <v>0</v>
      </c>
      <c r="K21" s="5">
        <v>24000000</v>
      </c>
      <c r="L21" s="5">
        <v>1000000</v>
      </c>
      <c r="M21" s="5">
        <v>3854200000</v>
      </c>
      <c r="N21" s="5">
        <v>100000000000</v>
      </c>
      <c r="O21" s="5">
        <v>10000000000</v>
      </c>
      <c r="P21" s="5">
        <v>99970000000</v>
      </c>
      <c r="Q21" s="5">
        <v>2100000000</v>
      </c>
      <c r="R21" s="5">
        <v>100000000000</v>
      </c>
      <c r="S21" s="4" t="s">
        <v>48</v>
      </c>
      <c r="T21" s="4"/>
      <c r="U21" s="4">
        <v>0.99970000000000003</v>
      </c>
      <c r="V21" s="4">
        <v>564971751.41242898</v>
      </c>
      <c r="W21" s="4">
        <v>1</v>
      </c>
      <c r="X21" s="6" t="s">
        <v>171</v>
      </c>
      <c r="Y21" s="4"/>
      <c r="Z21" s="4"/>
      <c r="AA21" s="4"/>
      <c r="AB21" s="11">
        <v>30000000</v>
      </c>
      <c r="AC21" s="4"/>
      <c r="AD21" s="11">
        <v>52970000000</v>
      </c>
      <c r="AE21" s="4"/>
      <c r="AF21" s="4"/>
      <c r="AG21" s="4"/>
      <c r="AH21" s="4">
        <v>0.47023999999999999</v>
      </c>
      <c r="AI21" s="4" t="s">
        <v>345</v>
      </c>
      <c r="AJ21" s="4" t="s">
        <v>346</v>
      </c>
      <c r="AK21" s="4" t="s">
        <v>345</v>
      </c>
      <c r="AL21" s="4" t="s">
        <v>346</v>
      </c>
      <c r="AM21" s="4" t="s">
        <v>345</v>
      </c>
      <c r="AN21" s="4" t="s">
        <v>345</v>
      </c>
      <c r="AO21" s="4" t="s">
        <v>345</v>
      </c>
      <c r="AP21" s="7"/>
      <c r="AQ21" s="7"/>
    </row>
    <row r="22" spans="1:43">
      <c r="A22" s="4" t="s">
        <v>68</v>
      </c>
      <c r="B22" s="4" t="s">
        <v>43</v>
      </c>
      <c r="C22" s="4" t="s">
        <v>172</v>
      </c>
      <c r="D22" s="4" t="s">
        <v>173</v>
      </c>
      <c r="E22" s="4" t="s">
        <v>174</v>
      </c>
      <c r="F22" s="4" t="s">
        <v>175</v>
      </c>
      <c r="G22" s="4">
        <v>29</v>
      </c>
      <c r="H22" s="5">
        <v>1680000000</v>
      </c>
      <c r="I22" s="5">
        <v>0</v>
      </c>
      <c r="J22" s="5">
        <v>0</v>
      </c>
      <c r="K22" s="5">
        <v>1200000000</v>
      </c>
      <c r="L22" s="5">
        <v>600000</v>
      </c>
      <c r="M22" s="5">
        <v>2880600000</v>
      </c>
      <c r="N22" s="5">
        <v>60000000000</v>
      </c>
      <c r="O22" s="5">
        <v>0</v>
      </c>
      <c r="P22" s="5">
        <v>58800000000</v>
      </c>
      <c r="Q22" s="5">
        <v>0</v>
      </c>
      <c r="R22" s="5">
        <v>60000000000</v>
      </c>
      <c r="S22" s="4" t="s">
        <v>48</v>
      </c>
      <c r="T22" s="4"/>
      <c r="U22" s="4">
        <v>0.98</v>
      </c>
      <c r="V22" s="4">
        <v>2068965517.24137</v>
      </c>
      <c r="W22" s="4">
        <v>1</v>
      </c>
      <c r="X22" s="6" t="s">
        <v>176</v>
      </c>
      <c r="Y22" s="4"/>
      <c r="Z22" s="4"/>
      <c r="AA22" s="4"/>
      <c r="AB22" s="11">
        <v>1200000000</v>
      </c>
      <c r="AC22" s="4"/>
      <c r="AD22" s="11">
        <v>30600000000</v>
      </c>
      <c r="AE22" s="4"/>
      <c r="AF22" s="4"/>
      <c r="AG22" s="4"/>
      <c r="AH22" s="4">
        <v>0.49</v>
      </c>
      <c r="AI22" s="4" t="s">
        <v>345</v>
      </c>
      <c r="AJ22" s="4" t="s">
        <v>346</v>
      </c>
      <c r="AK22" s="4" t="s">
        <v>345</v>
      </c>
      <c r="AL22" s="4" t="s">
        <v>346</v>
      </c>
      <c r="AM22" s="4" t="s">
        <v>345</v>
      </c>
      <c r="AN22" s="4" t="s">
        <v>345</v>
      </c>
      <c r="AO22" s="4" t="s">
        <v>345</v>
      </c>
      <c r="AP22" s="7"/>
      <c r="AQ22" s="7"/>
    </row>
    <row r="23" spans="1:43">
      <c r="A23" s="4" t="s">
        <v>68</v>
      </c>
      <c r="B23" s="4" t="s">
        <v>43</v>
      </c>
      <c r="C23" s="4" t="s">
        <v>126</v>
      </c>
      <c r="D23" s="4" t="s">
        <v>45</v>
      </c>
      <c r="E23" s="4" t="s">
        <v>177</v>
      </c>
      <c r="F23" s="4" t="s">
        <v>178</v>
      </c>
      <c r="G23" s="4">
        <v>70</v>
      </c>
      <c r="H23" s="5">
        <v>140000000000</v>
      </c>
      <c r="I23" s="5">
        <v>0</v>
      </c>
      <c r="J23" s="5">
        <v>0</v>
      </c>
      <c r="K23" s="5">
        <v>2500000</v>
      </c>
      <c r="L23" s="5">
        <v>0</v>
      </c>
      <c r="M23" s="5">
        <v>140002500000</v>
      </c>
      <c r="N23" s="5">
        <v>240000000000</v>
      </c>
      <c r="O23" s="5">
        <v>0</v>
      </c>
      <c r="P23" s="5">
        <v>239997500000</v>
      </c>
      <c r="Q23" s="5">
        <v>800000000</v>
      </c>
      <c r="R23" s="5">
        <v>240000000000</v>
      </c>
      <c r="S23" s="4" t="s">
        <v>48</v>
      </c>
      <c r="T23" s="4"/>
      <c r="U23" s="4">
        <v>0.99999000000000005</v>
      </c>
      <c r="V23" s="4">
        <v>3428571428.5714202</v>
      </c>
      <c r="W23" s="4">
        <v>1</v>
      </c>
      <c r="X23" s="6" t="s">
        <v>179</v>
      </c>
      <c r="Y23" s="4" t="s">
        <v>180</v>
      </c>
      <c r="Z23" s="4"/>
      <c r="AA23" s="4"/>
      <c r="AB23" s="11">
        <v>2500000</v>
      </c>
      <c r="AC23" s="4"/>
      <c r="AD23" s="11">
        <v>127197500000</v>
      </c>
      <c r="AE23" s="4"/>
      <c r="AF23" s="4"/>
      <c r="AG23" s="4"/>
      <c r="AH23" s="4">
        <v>0.47001041666666665</v>
      </c>
      <c r="AI23" s="4" t="s">
        <v>345</v>
      </c>
      <c r="AJ23" s="4" t="s">
        <v>346</v>
      </c>
      <c r="AK23" s="4" t="s">
        <v>345</v>
      </c>
      <c r="AL23" s="4" t="s">
        <v>346</v>
      </c>
      <c r="AM23" s="4" t="s">
        <v>345</v>
      </c>
      <c r="AN23" s="4" t="s">
        <v>345</v>
      </c>
      <c r="AO23" s="4" t="s">
        <v>345</v>
      </c>
      <c r="AP23" s="7"/>
      <c r="AQ23" s="7"/>
    </row>
    <row r="24" spans="1:43">
      <c r="A24" s="4" t="s">
        <v>56</v>
      </c>
      <c r="B24" s="4" t="s">
        <v>43</v>
      </c>
      <c r="C24" s="4" t="s">
        <v>126</v>
      </c>
      <c r="D24" s="4" t="s">
        <v>193</v>
      </c>
      <c r="E24" s="4" t="s">
        <v>194</v>
      </c>
      <c r="F24" s="4" t="s">
        <v>195</v>
      </c>
      <c r="G24" s="4">
        <v>150</v>
      </c>
      <c r="H24" s="5">
        <v>8582400000</v>
      </c>
      <c r="I24" s="5">
        <v>0</v>
      </c>
      <c r="J24" s="5">
        <v>0</v>
      </c>
      <c r="K24" s="5">
        <v>959888880</v>
      </c>
      <c r="L24" s="5">
        <v>86000000</v>
      </c>
      <c r="M24" s="5">
        <v>9628288880</v>
      </c>
      <c r="N24" s="5">
        <v>96000000000</v>
      </c>
      <c r="O24" s="5">
        <v>0</v>
      </c>
      <c r="P24" s="5">
        <v>95040111120</v>
      </c>
      <c r="Q24" s="5">
        <v>4852000000</v>
      </c>
      <c r="R24" s="5">
        <v>96000000000</v>
      </c>
      <c r="S24" s="4" t="s">
        <v>48</v>
      </c>
      <c r="T24" s="4" t="s">
        <v>98</v>
      </c>
      <c r="U24" s="4">
        <v>0.99000100000000002</v>
      </c>
      <c r="V24" s="4">
        <v>640000000</v>
      </c>
      <c r="W24" s="4">
        <v>1</v>
      </c>
      <c r="X24" s="6" t="s">
        <v>196</v>
      </c>
      <c r="Y24" s="4"/>
      <c r="Z24" s="4"/>
      <c r="AA24" s="4"/>
      <c r="AB24" s="11">
        <v>959888880</v>
      </c>
      <c r="AC24" s="4"/>
      <c r="AD24" s="11">
        <v>49920111120</v>
      </c>
      <c r="AE24" s="4"/>
      <c r="AF24" s="4"/>
      <c r="AG24" s="4"/>
      <c r="AH24" s="4">
        <v>0.47999884250000002</v>
      </c>
      <c r="AI24" s="4" t="s">
        <v>345</v>
      </c>
      <c r="AJ24" s="4" t="s">
        <v>346</v>
      </c>
      <c r="AK24" s="4" t="s">
        <v>345</v>
      </c>
      <c r="AL24" s="4" t="s">
        <v>346</v>
      </c>
      <c r="AM24" s="4" t="s">
        <v>345</v>
      </c>
      <c r="AN24" s="4" t="s">
        <v>345</v>
      </c>
      <c r="AO24" s="4" t="s">
        <v>345</v>
      </c>
      <c r="AP24" s="7"/>
      <c r="AQ24" s="7"/>
    </row>
    <row r="25" spans="1:43">
      <c r="A25" s="4" t="s">
        <v>63</v>
      </c>
      <c r="B25" s="4" t="s">
        <v>43</v>
      </c>
      <c r="C25" s="4" t="s">
        <v>137</v>
      </c>
      <c r="D25" s="4" t="s">
        <v>117</v>
      </c>
      <c r="E25" s="4" t="s">
        <v>230</v>
      </c>
      <c r="F25" s="4" t="s">
        <v>231</v>
      </c>
      <c r="G25" s="4">
        <v>52</v>
      </c>
      <c r="H25" s="5">
        <v>3468513360</v>
      </c>
      <c r="I25" s="5">
        <v>308560000</v>
      </c>
      <c r="J25" s="5">
        <v>0</v>
      </c>
      <c r="K25" s="5">
        <v>1984680000</v>
      </c>
      <c r="L25" s="5">
        <v>0</v>
      </c>
      <c r="M25" s="5">
        <v>5761753360</v>
      </c>
      <c r="N25" s="5">
        <v>111081600000</v>
      </c>
      <c r="O25" s="5">
        <v>0</v>
      </c>
      <c r="P25" s="5">
        <v>108788360000</v>
      </c>
      <c r="Q25" s="5">
        <v>0</v>
      </c>
      <c r="R25" s="5">
        <v>111081600000</v>
      </c>
      <c r="S25" s="4" t="s">
        <v>48</v>
      </c>
      <c r="T25" s="4"/>
      <c r="U25" s="4">
        <v>0.97935499999999998</v>
      </c>
      <c r="V25" s="4">
        <v>2136184615.3846099</v>
      </c>
      <c r="W25" s="4">
        <v>1</v>
      </c>
      <c r="X25" s="6" t="s">
        <v>232</v>
      </c>
      <c r="Y25" s="4"/>
      <c r="Z25" s="4"/>
      <c r="AA25" s="4"/>
      <c r="AB25" s="11">
        <v>2293240000</v>
      </c>
      <c r="AC25" s="4"/>
      <c r="AD25" s="11">
        <v>56580008000</v>
      </c>
      <c r="AE25" s="4"/>
      <c r="AF25" s="4"/>
      <c r="AG25" s="4"/>
      <c r="AH25" s="4">
        <v>0.48786686543946073</v>
      </c>
      <c r="AI25" s="4" t="s">
        <v>345</v>
      </c>
      <c r="AJ25" s="4" t="s">
        <v>346</v>
      </c>
      <c r="AK25" s="4" t="s">
        <v>345</v>
      </c>
      <c r="AL25" s="4" t="s">
        <v>346</v>
      </c>
      <c r="AM25" s="4" t="s">
        <v>345</v>
      </c>
      <c r="AN25" s="4" t="s">
        <v>345</v>
      </c>
      <c r="AO25" s="4" t="s">
        <v>345</v>
      </c>
      <c r="AP25" s="7"/>
      <c r="AQ25" s="7"/>
    </row>
    <row r="26" spans="1:43">
      <c r="A26" s="4" t="s">
        <v>253</v>
      </c>
      <c r="B26" s="4" t="s">
        <v>43</v>
      </c>
      <c r="C26" s="4" t="s">
        <v>50</v>
      </c>
      <c r="D26" s="4" t="s">
        <v>254</v>
      </c>
      <c r="E26" s="4" t="s">
        <v>255</v>
      </c>
      <c r="F26" s="4" t="s">
        <v>256</v>
      </c>
      <c r="G26" s="4">
        <v>702</v>
      </c>
      <c r="H26" s="5">
        <v>45066527200</v>
      </c>
      <c r="I26" s="5">
        <v>114932408</v>
      </c>
      <c r="J26" s="5">
        <v>0</v>
      </c>
      <c r="K26" s="5">
        <v>12619565810</v>
      </c>
      <c r="L26" s="5">
        <v>6575326308</v>
      </c>
      <c r="M26" s="5">
        <v>64376351726</v>
      </c>
      <c r="N26" s="5">
        <v>186200169670</v>
      </c>
      <c r="O26" s="5">
        <v>2871548107</v>
      </c>
      <c r="P26" s="5">
        <v>173465671452</v>
      </c>
      <c r="Q26" s="5">
        <v>44463594996</v>
      </c>
      <c r="R26" s="5">
        <v>186200169670</v>
      </c>
      <c r="S26" s="4" t="s">
        <v>48</v>
      </c>
      <c r="T26" s="4"/>
      <c r="U26" s="4">
        <v>0.93160900000000002</v>
      </c>
      <c r="V26" s="4">
        <v>265242406.93732199</v>
      </c>
      <c r="W26" s="4">
        <v>1</v>
      </c>
      <c r="X26" s="6" t="s">
        <v>257</v>
      </c>
      <c r="Y26" s="4" t="s">
        <v>258</v>
      </c>
      <c r="Z26" s="4"/>
      <c r="AA26" s="4"/>
      <c r="AB26" s="11">
        <v>12734498218</v>
      </c>
      <c r="AC26" s="4"/>
      <c r="AD26" s="11">
        <v>85951591707.100006</v>
      </c>
      <c r="AE26" s="4"/>
      <c r="AF26" s="4"/>
      <c r="AG26" s="4"/>
      <c r="AH26" s="4">
        <v>0.53777419071295951</v>
      </c>
      <c r="AI26" s="4" t="s">
        <v>345</v>
      </c>
      <c r="AJ26" s="4" t="s">
        <v>346</v>
      </c>
      <c r="AK26" s="4" t="s">
        <v>345</v>
      </c>
      <c r="AL26" s="4" t="s">
        <v>346</v>
      </c>
      <c r="AM26" s="4" t="s">
        <v>345</v>
      </c>
      <c r="AN26" s="4" t="s">
        <v>345</v>
      </c>
      <c r="AO26" s="4" t="s">
        <v>345</v>
      </c>
      <c r="AP26" s="7"/>
      <c r="AQ26" s="7"/>
    </row>
    <row r="27" spans="1:43">
      <c r="A27" s="4" t="s">
        <v>56</v>
      </c>
      <c r="B27" s="4" t="s">
        <v>43</v>
      </c>
      <c r="C27" s="4" t="s">
        <v>44</v>
      </c>
      <c r="D27" s="4" t="s">
        <v>198</v>
      </c>
      <c r="E27" s="4" t="s">
        <v>266</v>
      </c>
      <c r="F27" s="4" t="s">
        <v>267</v>
      </c>
      <c r="G27" s="4">
        <v>11</v>
      </c>
      <c r="H27" s="5">
        <v>3712118156</v>
      </c>
      <c r="I27" s="5">
        <v>0</v>
      </c>
      <c r="J27" s="5">
        <v>0</v>
      </c>
      <c r="K27" s="5">
        <v>26901956760</v>
      </c>
      <c r="L27" s="5">
        <v>30614074916</v>
      </c>
      <c r="M27" s="5">
        <v>61228149832</v>
      </c>
      <c r="N27" s="5">
        <v>313546947450</v>
      </c>
      <c r="O27" s="5">
        <v>0</v>
      </c>
      <c r="P27" s="5">
        <v>286644990690</v>
      </c>
      <c r="Q27" s="5">
        <v>2000000000</v>
      </c>
      <c r="R27" s="5">
        <v>313546947450</v>
      </c>
      <c r="S27" s="4" t="s">
        <v>48</v>
      </c>
      <c r="T27" s="4"/>
      <c r="U27" s="4">
        <v>0.91420100000000004</v>
      </c>
      <c r="V27" s="4">
        <v>28504267950</v>
      </c>
      <c r="W27" s="4">
        <v>1</v>
      </c>
      <c r="X27" s="6" t="s">
        <v>268</v>
      </c>
      <c r="Y27" s="4"/>
      <c r="Z27" s="4"/>
      <c r="AA27" s="4"/>
      <c r="AB27" s="11">
        <v>26901956760</v>
      </c>
      <c r="AC27" s="4"/>
      <c r="AD27" s="11">
        <v>139277925388.5</v>
      </c>
      <c r="AE27" s="4"/>
      <c r="AF27" s="4"/>
      <c r="AG27" s="4"/>
      <c r="AH27" s="4">
        <v>0.55579881570778145</v>
      </c>
      <c r="AI27" s="4" t="s">
        <v>345</v>
      </c>
      <c r="AJ27" s="4" t="s">
        <v>346</v>
      </c>
      <c r="AK27" s="4" t="s">
        <v>345</v>
      </c>
      <c r="AL27" s="4" t="s">
        <v>346</v>
      </c>
      <c r="AM27" s="4" t="s">
        <v>345</v>
      </c>
      <c r="AN27" s="4" t="s">
        <v>345</v>
      </c>
      <c r="AO27" s="4" t="s">
        <v>345</v>
      </c>
      <c r="AP27" s="7"/>
      <c r="AQ27" s="7"/>
    </row>
    <row r="28" spans="1:43">
      <c r="A28" s="4" t="s">
        <v>63</v>
      </c>
      <c r="B28" s="4" t="s">
        <v>43</v>
      </c>
      <c r="C28" s="4" t="s">
        <v>44</v>
      </c>
      <c r="D28" s="4" t="s">
        <v>45</v>
      </c>
      <c r="E28" s="4" t="s">
        <v>273</v>
      </c>
      <c r="F28" s="4" t="s">
        <v>274</v>
      </c>
      <c r="G28" s="4">
        <v>69</v>
      </c>
      <c r="H28" s="5">
        <v>2940000000</v>
      </c>
      <c r="I28" s="5">
        <v>0</v>
      </c>
      <c r="J28" s="5">
        <v>0</v>
      </c>
      <c r="K28" s="5">
        <v>24000000</v>
      </c>
      <c r="L28" s="5">
        <v>0</v>
      </c>
      <c r="M28" s="5">
        <v>2964000000</v>
      </c>
      <c r="N28" s="5">
        <v>81115200000</v>
      </c>
      <c r="O28" s="5">
        <v>0</v>
      </c>
      <c r="P28" s="5">
        <v>81091200000</v>
      </c>
      <c r="Q28" s="5">
        <v>0</v>
      </c>
      <c r="R28" s="5">
        <v>81115200000</v>
      </c>
      <c r="S28" s="4" t="s">
        <v>48</v>
      </c>
      <c r="T28" s="4" t="s">
        <v>98</v>
      </c>
      <c r="U28" s="4">
        <v>0.99970400000000004</v>
      </c>
      <c r="V28" s="4">
        <v>1175582608.6956501</v>
      </c>
      <c r="W28" s="4">
        <v>1</v>
      </c>
      <c r="X28" s="6" t="s">
        <v>275</v>
      </c>
      <c r="Y28" s="4" t="s">
        <v>276</v>
      </c>
      <c r="Z28" s="4"/>
      <c r="AA28" s="4"/>
      <c r="AB28" s="11">
        <v>24000000</v>
      </c>
      <c r="AC28" s="4"/>
      <c r="AD28" s="11">
        <v>42967056000</v>
      </c>
      <c r="AE28" s="4"/>
      <c r="AF28" s="4"/>
      <c r="AG28" s="4"/>
      <c r="AH28" s="4">
        <v>0.47029587549559143</v>
      </c>
      <c r="AI28" s="4" t="s">
        <v>345</v>
      </c>
      <c r="AJ28" s="4" t="s">
        <v>346</v>
      </c>
      <c r="AK28" s="4" t="s">
        <v>345</v>
      </c>
      <c r="AL28" s="4" t="s">
        <v>346</v>
      </c>
      <c r="AM28" s="4" t="s">
        <v>345</v>
      </c>
      <c r="AN28" s="4" t="s">
        <v>345</v>
      </c>
      <c r="AO28" s="4" t="s">
        <v>345</v>
      </c>
      <c r="AP28" s="7"/>
      <c r="AQ28" s="7"/>
    </row>
    <row r="29" spans="1:43">
      <c r="A29" s="4" t="s">
        <v>81</v>
      </c>
      <c r="B29" s="4" t="s">
        <v>43</v>
      </c>
      <c r="C29" s="4" t="s">
        <v>269</v>
      </c>
      <c r="D29" s="4" t="s">
        <v>127</v>
      </c>
      <c r="E29" s="4" t="s">
        <v>280</v>
      </c>
      <c r="F29" s="4" t="s">
        <v>281</v>
      </c>
      <c r="G29" s="4">
        <v>25</v>
      </c>
      <c r="H29" s="5">
        <v>23000000000</v>
      </c>
      <c r="I29" s="5">
        <v>0</v>
      </c>
      <c r="J29" s="5">
        <v>0</v>
      </c>
      <c r="K29" s="5">
        <v>1200000000</v>
      </c>
      <c r="L29" s="5">
        <v>0</v>
      </c>
      <c r="M29" s="5">
        <v>24200000000</v>
      </c>
      <c r="N29" s="5">
        <v>962780219600</v>
      </c>
      <c r="O29" s="5">
        <v>0</v>
      </c>
      <c r="P29" s="5">
        <v>961580219600</v>
      </c>
      <c r="Q29" s="5">
        <v>0</v>
      </c>
      <c r="R29" s="5">
        <v>962780219600</v>
      </c>
      <c r="S29" s="4" t="s">
        <v>48</v>
      </c>
      <c r="T29" s="4"/>
      <c r="U29" s="4">
        <v>0.99875400000000003</v>
      </c>
      <c r="V29" s="4">
        <v>38511208784</v>
      </c>
      <c r="W29" s="4">
        <v>1</v>
      </c>
      <c r="X29" s="6" t="s">
        <v>282</v>
      </c>
      <c r="Y29" s="4"/>
      <c r="Z29" s="4"/>
      <c r="AA29" s="4"/>
      <c r="AB29" s="11">
        <v>1200000000</v>
      </c>
      <c r="AC29" s="4"/>
      <c r="AD29" s="11">
        <v>509073516388</v>
      </c>
      <c r="AE29" s="4"/>
      <c r="AF29" s="4"/>
      <c r="AG29" s="4"/>
      <c r="AH29" s="4">
        <v>0.47124639037609078</v>
      </c>
      <c r="AI29" s="4" t="s">
        <v>345</v>
      </c>
      <c r="AJ29" s="4" t="s">
        <v>346</v>
      </c>
      <c r="AK29" s="4" t="s">
        <v>345</v>
      </c>
      <c r="AL29" s="4" t="s">
        <v>346</v>
      </c>
      <c r="AM29" s="4" t="s">
        <v>345</v>
      </c>
      <c r="AN29" s="4" t="s">
        <v>345</v>
      </c>
      <c r="AO29" s="4" t="s">
        <v>345</v>
      </c>
      <c r="AP29" s="7"/>
      <c r="AQ29" s="7"/>
    </row>
    <row r="30" spans="1:43">
      <c r="A30" s="4" t="s">
        <v>68</v>
      </c>
      <c r="B30" s="4" t="s">
        <v>43</v>
      </c>
      <c r="C30" s="4" t="s">
        <v>304</v>
      </c>
      <c r="D30" s="4" t="s">
        <v>215</v>
      </c>
      <c r="E30" s="4" t="s">
        <v>305</v>
      </c>
      <c r="F30" s="4" t="s">
        <v>306</v>
      </c>
      <c r="G30" s="4">
        <v>191</v>
      </c>
      <c r="H30" s="5">
        <v>23207542472</v>
      </c>
      <c r="I30" s="5">
        <v>3481526828</v>
      </c>
      <c r="J30" s="5">
        <v>0</v>
      </c>
      <c r="K30" s="5">
        <v>6133793862</v>
      </c>
      <c r="L30" s="5">
        <v>642717586</v>
      </c>
      <c r="M30" s="5">
        <v>33465580748</v>
      </c>
      <c r="N30" s="5">
        <v>59520969532</v>
      </c>
      <c r="O30" s="5">
        <v>3069308236</v>
      </c>
      <c r="P30" s="5">
        <v>49905648842</v>
      </c>
      <c r="Q30" s="5">
        <v>10000000000</v>
      </c>
      <c r="R30" s="5">
        <v>59520969532</v>
      </c>
      <c r="S30" s="4" t="s">
        <v>48</v>
      </c>
      <c r="T30" s="4" t="s">
        <v>130</v>
      </c>
      <c r="U30" s="4">
        <v>0.83845499999999995</v>
      </c>
      <c r="V30" s="4">
        <v>311628112.73298401</v>
      </c>
      <c r="W30" s="4">
        <v>1</v>
      </c>
      <c r="X30" s="6" t="s">
        <v>307</v>
      </c>
      <c r="Y30" s="4" t="s">
        <v>308</v>
      </c>
      <c r="Z30" s="4"/>
      <c r="AA30" s="4"/>
      <c r="AB30" s="11">
        <v>9615320690</v>
      </c>
      <c r="AC30" s="4"/>
      <c r="AD30" s="11">
        <v>21930793161.960003</v>
      </c>
      <c r="AE30" s="4"/>
      <c r="AF30" s="4"/>
      <c r="AG30" s="4"/>
      <c r="AH30" s="4">
        <v>0.57305265371563396</v>
      </c>
      <c r="AI30" s="4" t="s">
        <v>345</v>
      </c>
      <c r="AJ30" s="4" t="s">
        <v>346</v>
      </c>
      <c r="AK30" s="4" t="s">
        <v>345</v>
      </c>
      <c r="AL30" s="4" t="s">
        <v>346</v>
      </c>
      <c r="AM30" s="4" t="s">
        <v>345</v>
      </c>
      <c r="AN30" s="4" t="s">
        <v>345</v>
      </c>
      <c r="AO30" s="4" t="s">
        <v>345</v>
      </c>
      <c r="AP30" s="7"/>
      <c r="AQ30" s="7"/>
    </row>
    <row r="31" spans="1:43">
      <c r="A31" s="4" t="s">
        <v>68</v>
      </c>
      <c r="B31" s="4" t="s">
        <v>43</v>
      </c>
      <c r="C31" s="4" t="s">
        <v>309</v>
      </c>
      <c r="D31" s="4" t="s">
        <v>89</v>
      </c>
      <c r="E31" s="4" t="s">
        <v>310</v>
      </c>
      <c r="F31" s="4" t="s">
        <v>311</v>
      </c>
      <c r="G31" s="4">
        <v>40</v>
      </c>
      <c r="H31" s="5">
        <v>34536000000</v>
      </c>
      <c r="I31" s="5">
        <v>0</v>
      </c>
      <c r="J31" s="5">
        <v>0</v>
      </c>
      <c r="K31" s="5">
        <v>118000000</v>
      </c>
      <c r="L31" s="5">
        <v>0</v>
      </c>
      <c r="M31" s="5">
        <v>34654000000</v>
      </c>
      <c r="N31" s="5">
        <v>54750000000</v>
      </c>
      <c r="O31" s="5">
        <v>0</v>
      </c>
      <c r="P31" s="5">
        <v>54632000000</v>
      </c>
      <c r="Q31" s="5">
        <v>26000000000</v>
      </c>
      <c r="R31" s="5">
        <v>54750000000</v>
      </c>
      <c r="S31" s="4" t="s">
        <v>48</v>
      </c>
      <c r="T31" s="4"/>
      <c r="U31" s="4">
        <v>0.99784499999999998</v>
      </c>
      <c r="V31" s="4">
        <v>1368750000</v>
      </c>
      <c r="W31" s="4">
        <v>1</v>
      </c>
      <c r="X31" s="6" t="s">
        <v>312</v>
      </c>
      <c r="Y31" s="4" t="s">
        <v>313</v>
      </c>
      <c r="Z31" s="4"/>
      <c r="AA31" s="4"/>
      <c r="AB31" s="11">
        <v>118000000</v>
      </c>
      <c r="AC31" s="4"/>
      <c r="AD31" s="11">
        <v>28899500000</v>
      </c>
      <c r="AE31" s="4"/>
      <c r="AF31" s="4"/>
      <c r="AG31" s="4"/>
      <c r="AH31" s="4">
        <v>0.47215525114155249</v>
      </c>
      <c r="AI31" s="4" t="s">
        <v>345</v>
      </c>
      <c r="AJ31" s="4" t="s">
        <v>346</v>
      </c>
      <c r="AK31" s="4" t="s">
        <v>345</v>
      </c>
      <c r="AL31" s="4" t="s">
        <v>346</v>
      </c>
      <c r="AM31" s="4" t="s">
        <v>345</v>
      </c>
      <c r="AN31" s="4" t="s">
        <v>345</v>
      </c>
      <c r="AO31" s="4" t="s">
        <v>345</v>
      </c>
      <c r="AP31" s="7"/>
      <c r="AQ31" s="7"/>
    </row>
    <row r="32" spans="1:43">
      <c r="A32" s="4" t="s">
        <v>81</v>
      </c>
      <c r="B32" s="4" t="s">
        <v>43</v>
      </c>
      <c r="C32" s="4" t="s">
        <v>322</v>
      </c>
      <c r="D32" s="4" t="s">
        <v>102</v>
      </c>
      <c r="E32" s="4" t="s">
        <v>323</v>
      </c>
      <c r="F32" s="4" t="s">
        <v>324</v>
      </c>
      <c r="G32" s="4">
        <v>7</v>
      </c>
      <c r="H32" s="5">
        <v>27000000</v>
      </c>
      <c r="I32" s="5">
        <v>0</v>
      </c>
      <c r="J32" s="5">
        <v>0</v>
      </c>
      <c r="K32" s="5">
        <v>642000</v>
      </c>
      <c r="L32" s="5">
        <v>0</v>
      </c>
      <c r="M32" s="5">
        <v>27642000</v>
      </c>
      <c r="N32" s="5">
        <v>240000000000</v>
      </c>
      <c r="O32" s="5">
        <v>0</v>
      </c>
      <c r="P32" s="5">
        <v>239999358000</v>
      </c>
      <c r="Q32" s="5">
        <v>6000000000</v>
      </c>
      <c r="R32" s="5">
        <v>240000000000</v>
      </c>
      <c r="S32" s="4" t="s">
        <v>48</v>
      </c>
      <c r="T32" s="4" t="s">
        <v>98</v>
      </c>
      <c r="U32" s="4">
        <v>0.99999700000000002</v>
      </c>
      <c r="V32" s="4">
        <v>34285714285.714199</v>
      </c>
      <c r="W32" s="4">
        <v>1</v>
      </c>
      <c r="X32" s="6" t="s">
        <v>325</v>
      </c>
      <c r="Y32" s="4" t="s">
        <v>326</v>
      </c>
      <c r="Z32" s="4"/>
      <c r="AA32" s="4"/>
      <c r="AB32" s="11">
        <v>642000</v>
      </c>
      <c r="AC32" s="4"/>
      <c r="AD32" s="11">
        <v>127199358000</v>
      </c>
      <c r="AE32" s="4"/>
      <c r="AF32" s="4"/>
      <c r="AG32" s="4"/>
      <c r="AH32" s="4">
        <v>0.47000267499999998</v>
      </c>
      <c r="AI32" s="4" t="s">
        <v>345</v>
      </c>
      <c r="AJ32" s="4" t="s">
        <v>346</v>
      </c>
      <c r="AK32" s="4" t="s">
        <v>345</v>
      </c>
      <c r="AL32" s="4" t="s">
        <v>346</v>
      </c>
      <c r="AM32" s="4" t="s">
        <v>345</v>
      </c>
      <c r="AN32" s="4" t="s">
        <v>345</v>
      </c>
      <c r="AO32" s="4" t="s">
        <v>345</v>
      </c>
      <c r="AP32" s="7"/>
      <c r="AQ32" s="7"/>
    </row>
    <row r="33" spans="1:43">
      <c r="A33" s="4" t="s">
        <v>63</v>
      </c>
      <c r="B33" s="4" t="s">
        <v>43</v>
      </c>
      <c r="C33" s="4" t="s">
        <v>152</v>
      </c>
      <c r="D33" s="4" t="s">
        <v>64</v>
      </c>
      <c r="E33" s="4" t="s">
        <v>334</v>
      </c>
      <c r="F33" s="4" t="s">
        <v>335</v>
      </c>
      <c r="G33" s="4">
        <v>30</v>
      </c>
      <c r="H33" s="5">
        <v>1260000000</v>
      </c>
      <c r="I33" s="5">
        <v>0</v>
      </c>
      <c r="J33" s="5">
        <v>0</v>
      </c>
      <c r="K33" s="5">
        <v>6000000000</v>
      </c>
      <c r="L33" s="5">
        <v>600000000</v>
      </c>
      <c r="M33" s="5">
        <v>7860000000</v>
      </c>
      <c r="N33" s="5">
        <v>60000000000</v>
      </c>
      <c r="O33" s="5">
        <v>0</v>
      </c>
      <c r="P33" s="5">
        <v>54000000000</v>
      </c>
      <c r="Q33" s="5">
        <v>5400000000</v>
      </c>
      <c r="R33" s="5">
        <v>60000000000</v>
      </c>
      <c r="S33" s="4" t="s">
        <v>48</v>
      </c>
      <c r="T33" s="4" t="s">
        <v>98</v>
      </c>
      <c r="U33" s="4">
        <v>0.9</v>
      </c>
      <c r="V33" s="4">
        <v>2000000000</v>
      </c>
      <c r="W33" s="4">
        <v>1</v>
      </c>
      <c r="X33" s="6" t="s">
        <v>336</v>
      </c>
      <c r="Y33" s="4"/>
      <c r="Z33" s="4"/>
      <c r="AA33" s="4"/>
      <c r="AB33" s="11">
        <v>6000000000</v>
      </c>
      <c r="AC33" s="4"/>
      <c r="AD33" s="11">
        <v>25800000000</v>
      </c>
      <c r="AE33" s="4"/>
      <c r="AF33" s="4"/>
      <c r="AG33" s="4"/>
      <c r="AH33" s="4">
        <v>0.56999999999999995</v>
      </c>
      <c r="AI33" s="4" t="s">
        <v>345</v>
      </c>
      <c r="AJ33" s="4" t="s">
        <v>346</v>
      </c>
      <c r="AK33" s="4" t="s">
        <v>345</v>
      </c>
      <c r="AL33" s="4" t="s">
        <v>346</v>
      </c>
      <c r="AM33" s="4" t="s">
        <v>345</v>
      </c>
      <c r="AN33" s="4" t="s">
        <v>345</v>
      </c>
      <c r="AO33" s="4" t="s">
        <v>345</v>
      </c>
      <c r="AP33" s="7"/>
      <c r="AQ33" s="7"/>
    </row>
    <row r="34" spans="1:43">
      <c r="A34" s="4" t="s">
        <v>42</v>
      </c>
      <c r="B34" s="4" t="s">
        <v>43</v>
      </c>
      <c r="C34" s="4" t="s">
        <v>94</v>
      </c>
      <c r="D34" s="4" t="s">
        <v>95</v>
      </c>
      <c r="E34" s="4" t="s">
        <v>96</v>
      </c>
      <c r="F34" s="4" t="s">
        <v>97</v>
      </c>
      <c r="G34" s="4">
        <v>3</v>
      </c>
      <c r="H34" s="5">
        <v>54000000</v>
      </c>
      <c r="I34" s="5">
        <v>129513403500</v>
      </c>
      <c r="J34" s="5">
        <v>0</v>
      </c>
      <c r="K34" s="5">
        <v>3341395800</v>
      </c>
      <c r="L34" s="5">
        <v>243197</v>
      </c>
      <c r="M34" s="5">
        <v>132909042497</v>
      </c>
      <c r="N34" s="5">
        <v>144284953500</v>
      </c>
      <c r="O34" s="5">
        <v>1759402</v>
      </c>
      <c r="P34" s="5">
        <v>11430154200</v>
      </c>
      <c r="Q34" s="5">
        <v>2100000000</v>
      </c>
      <c r="R34" s="5">
        <v>144284953500</v>
      </c>
      <c r="S34" s="4" t="s">
        <v>48</v>
      </c>
      <c r="T34" s="4" t="s">
        <v>98</v>
      </c>
      <c r="U34" s="4">
        <v>7.9218999999999998E-2</v>
      </c>
      <c r="V34" s="4">
        <v>48094984500</v>
      </c>
      <c r="W34" s="4">
        <v>1</v>
      </c>
      <c r="X34" s="6" t="s">
        <v>99</v>
      </c>
      <c r="Y34" s="4"/>
      <c r="Z34" s="4"/>
      <c r="AA34" s="4"/>
      <c r="AB34" s="11">
        <f>0.45*N34</f>
        <v>64928229075</v>
      </c>
      <c r="AC34" s="4"/>
      <c r="AD34" s="11">
        <f>(0.53*N34)-(0.53*J34)-AB34</f>
        <v>11542796280</v>
      </c>
      <c r="AE34" s="4"/>
      <c r="AF34" s="4"/>
      <c r="AG34" s="4"/>
      <c r="AH34" s="4">
        <v>0.47</v>
      </c>
      <c r="AI34" s="4" t="s">
        <v>345</v>
      </c>
      <c r="AJ34" s="4" t="s">
        <v>346</v>
      </c>
      <c r="AK34" s="4" t="s">
        <v>345</v>
      </c>
      <c r="AL34" s="4" t="s">
        <v>346</v>
      </c>
      <c r="AM34" s="4" t="s">
        <v>345</v>
      </c>
      <c r="AN34" s="4" t="s">
        <v>345</v>
      </c>
      <c r="AO34" s="4" t="s">
        <v>345</v>
      </c>
      <c r="AP34" s="7"/>
      <c r="AQ34" s="7"/>
    </row>
    <row r="35" spans="1:43">
      <c r="A35" s="4" t="s">
        <v>100</v>
      </c>
      <c r="B35" s="4" t="s">
        <v>43</v>
      </c>
      <c r="C35" s="4" t="s">
        <v>101</v>
      </c>
      <c r="D35" s="4" t="s">
        <v>102</v>
      </c>
      <c r="E35" s="4" t="s">
        <v>103</v>
      </c>
      <c r="F35" s="4" t="s">
        <v>104</v>
      </c>
      <c r="G35" s="4">
        <v>835</v>
      </c>
      <c r="H35" s="5">
        <v>5784267188</v>
      </c>
      <c r="I35" s="5">
        <v>149199011415</v>
      </c>
      <c r="J35" s="5">
        <v>0</v>
      </c>
      <c r="K35" s="5">
        <v>2273502409</v>
      </c>
      <c r="L35" s="5">
        <v>6315824523</v>
      </c>
      <c r="M35" s="5">
        <v>163572605535</v>
      </c>
      <c r="N35" s="5">
        <v>165386959280</v>
      </c>
      <c r="O35" s="5">
        <v>311207112</v>
      </c>
      <c r="P35" s="5">
        <v>13914445456</v>
      </c>
      <c r="Q35" s="5">
        <v>16301096156</v>
      </c>
      <c r="R35" s="5">
        <v>165386959280</v>
      </c>
      <c r="S35" s="4" t="s">
        <v>48</v>
      </c>
      <c r="T35" s="4"/>
      <c r="U35" s="4">
        <v>8.4132999999999999E-2</v>
      </c>
      <c r="V35" s="4">
        <v>198068214.70658699</v>
      </c>
      <c r="W35" s="4">
        <v>1</v>
      </c>
      <c r="X35" s="6" t="s">
        <v>105</v>
      </c>
      <c r="Y35" s="4"/>
      <c r="Z35" s="4"/>
      <c r="AA35" s="4"/>
      <c r="AB35" s="11">
        <f t="shared" ref="AB35:AB44" si="0">0.45*N35</f>
        <v>74424131676</v>
      </c>
      <c r="AC35" s="4"/>
      <c r="AD35" s="11">
        <f t="shared" ref="AD35:AD44" si="1">(0.53*N35)-(0.53*J35)-AB35</f>
        <v>13230956742.400009</v>
      </c>
      <c r="AE35" s="4"/>
      <c r="AF35" s="4"/>
      <c r="AG35" s="4"/>
      <c r="AH35" s="4">
        <v>0.47</v>
      </c>
      <c r="AI35" s="4" t="s">
        <v>345</v>
      </c>
      <c r="AJ35" s="4" t="s">
        <v>346</v>
      </c>
      <c r="AK35" s="4" t="s">
        <v>345</v>
      </c>
      <c r="AL35" s="4" t="s">
        <v>346</v>
      </c>
      <c r="AM35" s="4" t="s">
        <v>345</v>
      </c>
      <c r="AN35" s="4" t="s">
        <v>345</v>
      </c>
      <c r="AO35" s="4" t="s">
        <v>345</v>
      </c>
      <c r="AP35" s="7"/>
      <c r="AQ35" s="7"/>
    </row>
    <row r="36" spans="1:43">
      <c r="A36" s="4" t="s">
        <v>81</v>
      </c>
      <c r="B36" s="4" t="s">
        <v>43</v>
      </c>
      <c r="C36" s="4" t="s">
        <v>106</v>
      </c>
      <c r="D36" s="4" t="s">
        <v>89</v>
      </c>
      <c r="E36" s="4" t="s">
        <v>107</v>
      </c>
      <c r="F36" s="4" t="s">
        <v>108</v>
      </c>
      <c r="G36" s="4">
        <v>27</v>
      </c>
      <c r="H36" s="5">
        <v>3397125000</v>
      </c>
      <c r="I36" s="5">
        <v>47660057000</v>
      </c>
      <c r="J36" s="5">
        <v>0</v>
      </c>
      <c r="K36" s="5">
        <v>2342722000</v>
      </c>
      <c r="L36" s="5">
        <v>117832000</v>
      </c>
      <c r="M36" s="5">
        <v>53517736000</v>
      </c>
      <c r="N36" s="5">
        <v>57320777000</v>
      </c>
      <c r="O36" s="5">
        <v>0</v>
      </c>
      <c r="P36" s="5">
        <v>7317998000</v>
      </c>
      <c r="Q36" s="5">
        <v>19237985000</v>
      </c>
      <c r="R36" s="5">
        <v>57320777000</v>
      </c>
      <c r="S36" s="4" t="s">
        <v>48</v>
      </c>
      <c r="T36" s="4"/>
      <c r="U36" s="4">
        <v>0.127667</v>
      </c>
      <c r="V36" s="4">
        <v>2122991740.7407401</v>
      </c>
      <c r="W36" s="4">
        <v>1</v>
      </c>
      <c r="X36" s="6" t="s">
        <v>109</v>
      </c>
      <c r="Y36" s="4" t="s">
        <v>110</v>
      </c>
      <c r="Z36" s="4"/>
      <c r="AA36" s="4"/>
      <c r="AB36" s="11">
        <f t="shared" si="0"/>
        <v>25794349650</v>
      </c>
      <c r="AC36" s="4"/>
      <c r="AD36" s="11">
        <f t="shared" si="1"/>
        <v>4585662160</v>
      </c>
      <c r="AE36" s="4"/>
      <c r="AF36" s="4"/>
      <c r="AG36" s="4"/>
      <c r="AH36" s="4">
        <v>0.47</v>
      </c>
      <c r="AI36" s="4" t="s">
        <v>345</v>
      </c>
      <c r="AJ36" s="4" t="s">
        <v>346</v>
      </c>
      <c r="AK36" s="4" t="s">
        <v>345</v>
      </c>
      <c r="AL36" s="4" t="s">
        <v>346</v>
      </c>
      <c r="AM36" s="4" t="s">
        <v>345</v>
      </c>
      <c r="AN36" s="4" t="s">
        <v>345</v>
      </c>
      <c r="AO36" s="4" t="s">
        <v>345</v>
      </c>
      <c r="AP36" s="7"/>
      <c r="AQ36" s="7"/>
    </row>
    <row r="37" spans="1:43">
      <c r="A37" s="4" t="s">
        <v>56</v>
      </c>
      <c r="B37" s="4" t="s">
        <v>43</v>
      </c>
      <c r="C37" s="4" t="s">
        <v>142</v>
      </c>
      <c r="D37" s="4" t="s">
        <v>143</v>
      </c>
      <c r="E37" s="4" t="s">
        <v>144</v>
      </c>
      <c r="F37" s="4" t="s">
        <v>145</v>
      </c>
      <c r="G37" s="4">
        <v>10</v>
      </c>
      <c r="H37" s="5">
        <v>3360000000</v>
      </c>
      <c r="I37" s="5">
        <v>0</v>
      </c>
      <c r="J37" s="5">
        <v>0</v>
      </c>
      <c r="K37" s="5">
        <v>1800000000000</v>
      </c>
      <c r="L37" s="5">
        <v>0</v>
      </c>
      <c r="M37" s="5">
        <v>1803360000000</v>
      </c>
      <c r="N37" s="5">
        <v>2000000000000</v>
      </c>
      <c r="O37" s="5">
        <v>0</v>
      </c>
      <c r="P37" s="5">
        <v>200000000000</v>
      </c>
      <c r="Q37" s="5">
        <v>0</v>
      </c>
      <c r="R37" s="5">
        <v>2000000000000</v>
      </c>
      <c r="S37" s="4" t="s">
        <v>48</v>
      </c>
      <c r="T37" s="4"/>
      <c r="U37" s="4">
        <v>0.1</v>
      </c>
      <c r="V37" s="4">
        <v>200000000000</v>
      </c>
      <c r="W37" s="4">
        <v>1</v>
      </c>
      <c r="X37" s="6" t="s">
        <v>146</v>
      </c>
      <c r="Y37" s="4" t="s">
        <v>147</v>
      </c>
      <c r="Z37" s="4"/>
      <c r="AA37" s="4"/>
      <c r="AB37" s="11">
        <f t="shared" si="0"/>
        <v>900000000000</v>
      </c>
      <c r="AC37" s="4"/>
      <c r="AD37" s="11">
        <f t="shared" si="1"/>
        <v>160000000000</v>
      </c>
      <c r="AE37" s="4"/>
      <c r="AF37" s="4"/>
      <c r="AG37" s="4"/>
      <c r="AH37" s="4">
        <v>0.47</v>
      </c>
      <c r="AI37" s="4" t="s">
        <v>345</v>
      </c>
      <c r="AJ37" s="4" t="s">
        <v>346</v>
      </c>
      <c r="AK37" s="4" t="s">
        <v>345</v>
      </c>
      <c r="AL37" s="4" t="s">
        <v>346</v>
      </c>
      <c r="AM37" s="4" t="s">
        <v>345</v>
      </c>
      <c r="AN37" s="4" t="s">
        <v>345</v>
      </c>
      <c r="AO37" s="4" t="s">
        <v>345</v>
      </c>
      <c r="AP37" s="7"/>
      <c r="AQ37" s="7"/>
    </row>
    <row r="38" spans="1:43">
      <c r="A38" s="4" t="s">
        <v>63</v>
      </c>
      <c r="B38" s="4" t="s">
        <v>43</v>
      </c>
      <c r="C38" s="4" t="s">
        <v>197</v>
      </c>
      <c r="D38" s="4" t="s">
        <v>198</v>
      </c>
      <c r="E38" s="4" t="s">
        <v>199</v>
      </c>
      <c r="F38" s="4" t="s">
        <v>200</v>
      </c>
      <c r="G38" s="4">
        <v>54</v>
      </c>
      <c r="H38" s="5">
        <v>7779366648</v>
      </c>
      <c r="I38" s="5">
        <v>50438482239</v>
      </c>
      <c r="J38" s="5">
        <v>0</v>
      </c>
      <c r="K38" s="5">
        <v>9312188205</v>
      </c>
      <c r="L38" s="5">
        <v>0</v>
      </c>
      <c r="M38" s="5">
        <v>67530037092</v>
      </c>
      <c r="N38" s="5">
        <v>71907935211</v>
      </c>
      <c r="O38" s="5">
        <v>0</v>
      </c>
      <c r="P38" s="5">
        <v>12157264767</v>
      </c>
      <c r="Q38" s="5">
        <v>75000000</v>
      </c>
      <c r="R38" s="5">
        <v>71907935211</v>
      </c>
      <c r="S38" s="4" t="s">
        <v>48</v>
      </c>
      <c r="T38" s="4"/>
      <c r="U38" s="4">
        <v>0.169067</v>
      </c>
      <c r="V38" s="4">
        <v>1331628429.8333299</v>
      </c>
      <c r="W38" s="4">
        <v>1</v>
      </c>
      <c r="X38" s="6" t="s">
        <v>201</v>
      </c>
      <c r="Y38" s="4" t="s">
        <v>202</v>
      </c>
      <c r="Z38" s="4"/>
      <c r="AA38" s="4"/>
      <c r="AB38" s="11">
        <f t="shared" si="0"/>
        <v>32358570844.950001</v>
      </c>
      <c r="AC38" s="4"/>
      <c r="AD38" s="11">
        <f t="shared" si="1"/>
        <v>5752634816.8800011</v>
      </c>
      <c r="AE38" s="4"/>
      <c r="AF38" s="4"/>
      <c r="AG38" s="4"/>
      <c r="AH38" s="4">
        <v>0.47</v>
      </c>
      <c r="AI38" s="4" t="s">
        <v>345</v>
      </c>
      <c r="AJ38" s="4" t="s">
        <v>346</v>
      </c>
      <c r="AK38" s="4" t="s">
        <v>345</v>
      </c>
      <c r="AL38" s="4" t="s">
        <v>346</v>
      </c>
      <c r="AM38" s="4" t="s">
        <v>345</v>
      </c>
      <c r="AN38" s="4" t="s">
        <v>345</v>
      </c>
      <c r="AO38" s="4" t="s">
        <v>345</v>
      </c>
      <c r="AP38" s="7"/>
      <c r="AQ38" s="7"/>
    </row>
    <row r="39" spans="1:43">
      <c r="A39" s="4" t="s">
        <v>56</v>
      </c>
      <c r="B39" s="4" t="s">
        <v>43</v>
      </c>
      <c r="C39" s="4" t="s">
        <v>219</v>
      </c>
      <c r="D39" s="4" t="s">
        <v>220</v>
      </c>
      <c r="E39" s="4" t="s">
        <v>221</v>
      </c>
      <c r="F39" s="4" t="s">
        <v>222</v>
      </c>
      <c r="G39" s="4">
        <v>2163</v>
      </c>
      <c r="H39" s="5">
        <v>1813870607909</v>
      </c>
      <c r="I39" s="5">
        <v>0</v>
      </c>
      <c r="J39" s="5">
        <v>0</v>
      </c>
      <c r="K39" s="5">
        <v>2242329156241</v>
      </c>
      <c r="L39" s="5">
        <v>1735703264786</v>
      </c>
      <c r="M39" s="5">
        <v>5791903028936</v>
      </c>
      <c r="N39" s="5">
        <v>1069190869445</v>
      </c>
      <c r="O39" s="5">
        <v>0</v>
      </c>
      <c r="P39" s="5">
        <v>-1173138286796</v>
      </c>
      <c r="Q39" s="5">
        <v>21643042510721</v>
      </c>
      <c r="R39" s="5">
        <v>1069190869445</v>
      </c>
      <c r="S39" s="4" t="s">
        <v>48</v>
      </c>
      <c r="T39" s="4"/>
      <c r="U39" s="4">
        <v>-1.097221</v>
      </c>
      <c r="V39" s="4">
        <v>494309232.29079998</v>
      </c>
      <c r="W39" s="4">
        <v>1</v>
      </c>
      <c r="X39" s="6" t="s">
        <v>223</v>
      </c>
      <c r="Y39" s="4" t="s">
        <v>224</v>
      </c>
      <c r="Z39" s="4"/>
      <c r="AA39" s="4"/>
      <c r="AB39" s="11">
        <f t="shared" si="0"/>
        <v>481135891250.25</v>
      </c>
      <c r="AC39" s="4"/>
      <c r="AD39" s="11">
        <f t="shared" si="1"/>
        <v>85535269555.599976</v>
      </c>
      <c r="AE39" s="4"/>
      <c r="AF39" s="4"/>
      <c r="AG39" s="4"/>
      <c r="AH39" s="4">
        <v>0.47</v>
      </c>
      <c r="AI39" s="4" t="s">
        <v>345</v>
      </c>
      <c r="AJ39" s="4" t="s">
        <v>346</v>
      </c>
      <c r="AK39" s="4" t="s">
        <v>345</v>
      </c>
      <c r="AL39" s="4" t="s">
        <v>346</v>
      </c>
      <c r="AM39" s="4" t="s">
        <v>345</v>
      </c>
      <c r="AN39" s="4" t="s">
        <v>345</v>
      </c>
      <c r="AO39" s="4" t="s">
        <v>345</v>
      </c>
      <c r="AP39" s="7"/>
      <c r="AQ39" s="7"/>
    </row>
    <row r="40" spans="1:43">
      <c r="A40" s="4" t="s">
        <v>56</v>
      </c>
      <c r="B40" s="4" t="s">
        <v>43</v>
      </c>
      <c r="C40" s="4" t="s">
        <v>243</v>
      </c>
      <c r="D40" s="4" t="s">
        <v>244</v>
      </c>
      <c r="E40" s="4" t="s">
        <v>245</v>
      </c>
      <c r="F40" s="4" t="s">
        <v>246</v>
      </c>
      <c r="G40" s="4">
        <v>1582</v>
      </c>
      <c r="H40" s="5">
        <v>250896469776</v>
      </c>
      <c r="I40" s="5">
        <v>2070724209244</v>
      </c>
      <c r="J40" s="5">
        <v>0</v>
      </c>
      <c r="K40" s="5">
        <v>987418652784</v>
      </c>
      <c r="L40" s="5">
        <v>752655399857</v>
      </c>
      <c r="M40" s="5">
        <v>4061694731661</v>
      </c>
      <c r="N40" s="5">
        <v>3425962281311</v>
      </c>
      <c r="O40" s="5">
        <v>681825119487</v>
      </c>
      <c r="P40" s="5">
        <v>367819419283</v>
      </c>
      <c r="Q40" s="5">
        <v>7776579445296</v>
      </c>
      <c r="R40" s="5">
        <v>3425962281311</v>
      </c>
      <c r="S40" s="4" t="s">
        <v>48</v>
      </c>
      <c r="T40" s="4"/>
      <c r="U40" s="4">
        <v>0.107362</v>
      </c>
      <c r="V40" s="4">
        <v>2165589305.50632</v>
      </c>
      <c r="W40" s="4">
        <v>1</v>
      </c>
      <c r="X40" s="6" t="s">
        <v>247</v>
      </c>
      <c r="Y40" s="4"/>
      <c r="Z40" s="4"/>
      <c r="AA40" s="4"/>
      <c r="AB40" s="11">
        <f t="shared" si="0"/>
        <v>1541683026589.95</v>
      </c>
      <c r="AC40" s="4"/>
      <c r="AD40" s="11">
        <f t="shared" si="1"/>
        <v>274076982504.88013</v>
      </c>
      <c r="AE40" s="4"/>
      <c r="AF40" s="4"/>
      <c r="AG40" s="4"/>
      <c r="AH40" s="4">
        <v>0.47</v>
      </c>
      <c r="AI40" s="4" t="s">
        <v>345</v>
      </c>
      <c r="AJ40" s="4" t="s">
        <v>346</v>
      </c>
      <c r="AK40" s="4" t="s">
        <v>345</v>
      </c>
      <c r="AL40" s="4" t="s">
        <v>346</v>
      </c>
      <c r="AM40" s="4" t="s">
        <v>345</v>
      </c>
      <c r="AN40" s="4" t="s">
        <v>345</v>
      </c>
      <c r="AO40" s="4" t="s">
        <v>345</v>
      </c>
      <c r="AP40" s="7"/>
      <c r="AQ40" s="7"/>
    </row>
    <row r="41" spans="1:43">
      <c r="A41" s="4" t="s">
        <v>81</v>
      </c>
      <c r="B41" s="4" t="s">
        <v>43</v>
      </c>
      <c r="C41" s="4" t="s">
        <v>248</v>
      </c>
      <c r="D41" s="4" t="s">
        <v>138</v>
      </c>
      <c r="E41" s="4" t="s">
        <v>249</v>
      </c>
      <c r="F41" s="4" t="s">
        <v>250</v>
      </c>
      <c r="G41" s="4">
        <v>32</v>
      </c>
      <c r="H41" s="5">
        <v>3705311198</v>
      </c>
      <c r="I41" s="5">
        <v>104601983203</v>
      </c>
      <c r="J41" s="5">
        <v>0</v>
      </c>
      <c r="K41" s="5">
        <v>3778954779</v>
      </c>
      <c r="L41" s="5">
        <v>2139902458</v>
      </c>
      <c r="M41" s="5">
        <v>114226151638</v>
      </c>
      <c r="N41" s="5">
        <v>116000000000</v>
      </c>
      <c r="O41" s="5">
        <v>215073836</v>
      </c>
      <c r="P41" s="5">
        <v>7619062018</v>
      </c>
      <c r="Q41" s="5">
        <v>49121703878</v>
      </c>
      <c r="R41" s="5">
        <v>116000000000</v>
      </c>
      <c r="S41" s="4" t="s">
        <v>48</v>
      </c>
      <c r="T41" s="4" t="s">
        <v>130</v>
      </c>
      <c r="U41" s="4">
        <v>6.5682000000000004E-2</v>
      </c>
      <c r="V41" s="4">
        <v>3625000000</v>
      </c>
      <c r="W41" s="4">
        <v>1</v>
      </c>
      <c r="X41" s="6" t="s">
        <v>251</v>
      </c>
      <c r="Y41" s="4" t="s">
        <v>252</v>
      </c>
      <c r="Z41" s="4"/>
      <c r="AA41" s="4"/>
      <c r="AB41" s="11">
        <f t="shared" si="0"/>
        <v>52200000000</v>
      </c>
      <c r="AC41" s="4"/>
      <c r="AD41" s="11">
        <f t="shared" si="1"/>
        <v>9280000000</v>
      </c>
      <c r="AE41" s="4"/>
      <c r="AF41" s="4"/>
      <c r="AG41" s="4"/>
      <c r="AH41" s="4">
        <v>0.47</v>
      </c>
      <c r="AI41" s="4" t="s">
        <v>345</v>
      </c>
      <c r="AJ41" s="4" t="s">
        <v>346</v>
      </c>
      <c r="AK41" s="4" t="s">
        <v>345</v>
      </c>
      <c r="AL41" s="4" t="s">
        <v>346</v>
      </c>
      <c r="AM41" s="4" t="s">
        <v>345</v>
      </c>
      <c r="AN41" s="4" t="s">
        <v>345</v>
      </c>
      <c r="AO41" s="4" t="s">
        <v>345</v>
      </c>
      <c r="AP41" s="7"/>
      <c r="AQ41" s="7"/>
    </row>
    <row r="42" spans="1:43">
      <c r="A42" s="4" t="s">
        <v>81</v>
      </c>
      <c r="B42" s="4" t="s">
        <v>43</v>
      </c>
      <c r="C42" s="4" t="s">
        <v>269</v>
      </c>
      <c r="D42" s="4" t="s">
        <v>254</v>
      </c>
      <c r="E42" s="4" t="s">
        <v>270</v>
      </c>
      <c r="F42" s="4" t="s">
        <v>271</v>
      </c>
      <c r="G42" s="4">
        <v>200</v>
      </c>
      <c r="H42" s="5">
        <v>7440000000</v>
      </c>
      <c r="I42" s="5">
        <v>0</v>
      </c>
      <c r="J42" s="5">
        <v>0</v>
      </c>
      <c r="K42" s="5">
        <v>70000000000</v>
      </c>
      <c r="L42" s="5">
        <v>0</v>
      </c>
      <c r="M42" s="5">
        <v>77440000000</v>
      </c>
      <c r="N42" s="5">
        <v>80000000000</v>
      </c>
      <c r="O42" s="5">
        <v>0</v>
      </c>
      <c r="P42" s="5">
        <v>10000000000</v>
      </c>
      <c r="Q42" s="5">
        <v>2000000000</v>
      </c>
      <c r="R42" s="5">
        <v>80000000000</v>
      </c>
      <c r="S42" s="4" t="s">
        <v>48</v>
      </c>
      <c r="T42" s="4" t="s">
        <v>130</v>
      </c>
      <c r="U42" s="4">
        <v>0.125</v>
      </c>
      <c r="V42" s="4">
        <v>400000000</v>
      </c>
      <c r="W42" s="4">
        <v>1</v>
      </c>
      <c r="X42" s="6" t="s">
        <v>272</v>
      </c>
      <c r="Y42" s="4"/>
      <c r="Z42" s="4"/>
      <c r="AA42" s="4"/>
      <c r="AB42" s="11">
        <f t="shared" si="0"/>
        <v>36000000000</v>
      </c>
      <c r="AC42" s="4"/>
      <c r="AD42" s="11">
        <f t="shared" si="1"/>
        <v>6400000000</v>
      </c>
      <c r="AE42" s="4"/>
      <c r="AF42" s="4"/>
      <c r="AG42" s="4"/>
      <c r="AH42" s="4">
        <v>0.47</v>
      </c>
      <c r="AI42" s="4" t="s">
        <v>345</v>
      </c>
      <c r="AJ42" s="4" t="s">
        <v>346</v>
      </c>
      <c r="AK42" s="4" t="s">
        <v>345</v>
      </c>
      <c r="AL42" s="4" t="s">
        <v>346</v>
      </c>
      <c r="AM42" s="4" t="s">
        <v>345</v>
      </c>
      <c r="AN42" s="4" t="s">
        <v>345</v>
      </c>
      <c r="AO42" s="4" t="s">
        <v>345</v>
      </c>
      <c r="AP42" s="7"/>
      <c r="AQ42" s="7"/>
    </row>
    <row r="43" spans="1:43">
      <c r="A43" s="4" t="s">
        <v>56</v>
      </c>
      <c r="B43" s="4" t="s">
        <v>43</v>
      </c>
      <c r="C43" s="4" t="s">
        <v>50</v>
      </c>
      <c r="D43" s="4" t="s">
        <v>330</v>
      </c>
      <c r="E43" s="4" t="s">
        <v>331</v>
      </c>
      <c r="F43" s="4" t="s">
        <v>332</v>
      </c>
      <c r="G43" s="4">
        <v>120</v>
      </c>
      <c r="H43" s="5">
        <v>18847839163</v>
      </c>
      <c r="I43" s="5">
        <v>164922313731</v>
      </c>
      <c r="J43" s="5">
        <v>0</v>
      </c>
      <c r="K43" s="5">
        <v>26678583074</v>
      </c>
      <c r="L43" s="5">
        <v>15504412785</v>
      </c>
      <c r="M43" s="5">
        <v>225953148753</v>
      </c>
      <c r="N43" s="5">
        <v>198715642141</v>
      </c>
      <c r="O43" s="5">
        <v>30936875700</v>
      </c>
      <c r="P43" s="5">
        <v>7114745336</v>
      </c>
      <c r="Q43" s="5">
        <v>259082894933</v>
      </c>
      <c r="R43" s="5">
        <v>198715642141</v>
      </c>
      <c r="S43" s="4" t="s">
        <v>48</v>
      </c>
      <c r="T43" s="4"/>
      <c r="U43" s="4">
        <v>3.5804000000000002E-2</v>
      </c>
      <c r="V43" s="4">
        <v>1655963684.5083301</v>
      </c>
      <c r="W43" s="4">
        <v>1</v>
      </c>
      <c r="X43" s="6" t="s">
        <v>333</v>
      </c>
      <c r="Y43" s="4"/>
      <c r="Z43" s="4"/>
      <c r="AA43" s="4"/>
      <c r="AB43" s="11">
        <f t="shared" si="0"/>
        <v>89422038963.449997</v>
      </c>
      <c r="AC43" s="4"/>
      <c r="AD43" s="11">
        <f t="shared" si="1"/>
        <v>15897251371.280014</v>
      </c>
      <c r="AE43" s="4"/>
      <c r="AF43" s="4"/>
      <c r="AG43" s="4"/>
      <c r="AH43" s="4">
        <v>0.47</v>
      </c>
      <c r="AI43" s="4" t="s">
        <v>345</v>
      </c>
      <c r="AJ43" s="4" t="s">
        <v>346</v>
      </c>
      <c r="AK43" s="4" t="s">
        <v>345</v>
      </c>
      <c r="AL43" s="4" t="s">
        <v>346</v>
      </c>
      <c r="AM43" s="4" t="s">
        <v>345</v>
      </c>
      <c r="AN43" s="4" t="s">
        <v>345</v>
      </c>
      <c r="AO43" s="4" t="s">
        <v>345</v>
      </c>
      <c r="AP43" s="7"/>
      <c r="AQ43" s="7"/>
    </row>
    <row r="44" spans="1:43">
      <c r="A44" s="4" t="s">
        <v>42</v>
      </c>
      <c r="B44" s="4" t="s">
        <v>43</v>
      </c>
      <c r="C44" s="4" t="s">
        <v>106</v>
      </c>
      <c r="D44" s="4" t="s">
        <v>153</v>
      </c>
      <c r="E44" s="4" t="s">
        <v>341</v>
      </c>
      <c r="F44" s="4" t="s">
        <v>342</v>
      </c>
      <c r="G44" s="4">
        <v>129</v>
      </c>
      <c r="H44" s="5">
        <v>17500032421</v>
      </c>
      <c r="I44" s="5">
        <v>467874515376</v>
      </c>
      <c r="J44" s="5">
        <v>0</v>
      </c>
      <c r="K44" s="5">
        <v>7456660679</v>
      </c>
      <c r="L44" s="5">
        <v>4518280674</v>
      </c>
      <c r="M44" s="5">
        <v>497349489150</v>
      </c>
      <c r="N44" s="5">
        <v>497380006144</v>
      </c>
      <c r="O44" s="5">
        <v>4126892432</v>
      </c>
      <c r="P44" s="5">
        <v>22048830089</v>
      </c>
      <c r="Q44" s="5">
        <v>46800345864</v>
      </c>
      <c r="R44" s="5">
        <v>497380006144</v>
      </c>
      <c r="S44" s="4" t="s">
        <v>48</v>
      </c>
      <c r="T44" s="4"/>
      <c r="U44" s="4">
        <v>4.4330000000000001E-2</v>
      </c>
      <c r="V44" s="4">
        <v>3855658962.3565798</v>
      </c>
      <c r="W44" s="4">
        <v>1</v>
      </c>
      <c r="X44" s="6" t="s">
        <v>343</v>
      </c>
      <c r="Y44" s="4" t="s">
        <v>313</v>
      </c>
      <c r="Z44" s="4"/>
      <c r="AA44" s="4"/>
      <c r="AB44" s="11">
        <f t="shared" si="0"/>
        <v>223821002764.80002</v>
      </c>
      <c r="AC44" s="4"/>
      <c r="AD44" s="11">
        <f t="shared" si="1"/>
        <v>39790400491.519989</v>
      </c>
      <c r="AE44" s="4"/>
      <c r="AF44" s="4"/>
      <c r="AG44" s="4"/>
      <c r="AH44" s="4">
        <v>0.47</v>
      </c>
      <c r="AI44" s="4" t="s">
        <v>345</v>
      </c>
      <c r="AJ44" s="4" t="s">
        <v>346</v>
      </c>
      <c r="AK44" s="4" t="s">
        <v>345</v>
      </c>
      <c r="AL44" s="4" t="s">
        <v>346</v>
      </c>
      <c r="AM44" s="4" t="s">
        <v>345</v>
      </c>
      <c r="AN44" s="4" t="s">
        <v>345</v>
      </c>
      <c r="AO44" s="4" t="s">
        <v>345</v>
      </c>
      <c r="AP44" s="7"/>
      <c r="AQ44" s="7"/>
    </row>
    <row r="45" spans="1:43">
      <c r="A45" s="4" t="s">
        <v>42</v>
      </c>
      <c r="B45" s="4" t="s">
        <v>43</v>
      </c>
      <c r="C45" s="4" t="s">
        <v>44</v>
      </c>
      <c r="D45" s="4" t="s">
        <v>45</v>
      </c>
      <c r="E45" s="4" t="s">
        <v>46</v>
      </c>
      <c r="F45" s="4" t="s">
        <v>47</v>
      </c>
      <c r="G45" s="4">
        <v>9</v>
      </c>
      <c r="H45" s="5">
        <v>134400000</v>
      </c>
      <c r="I45" s="5">
        <v>3500000</v>
      </c>
      <c r="J45" s="5">
        <v>0</v>
      </c>
      <c r="K45" s="5">
        <v>25000000</v>
      </c>
      <c r="L45" s="5">
        <v>250000</v>
      </c>
      <c r="M45" s="5">
        <v>163150000</v>
      </c>
      <c r="N45" s="5">
        <v>261040000000</v>
      </c>
      <c r="O45" s="5">
        <v>0</v>
      </c>
      <c r="P45" s="5">
        <v>261011500000</v>
      </c>
      <c r="Q45" s="5">
        <v>1515000000</v>
      </c>
      <c r="R45" s="5">
        <v>261040000000</v>
      </c>
      <c r="S45" s="4" t="s">
        <v>48</v>
      </c>
      <c r="T45" s="4"/>
      <c r="U45" s="4">
        <v>0.99989099999999997</v>
      </c>
      <c r="V45" s="4">
        <v>29004444444.444401</v>
      </c>
      <c r="W45" s="4">
        <v>1</v>
      </c>
      <c r="X45" s="6" t="s">
        <v>49</v>
      </c>
      <c r="Y45" s="4"/>
      <c r="Z45" s="4"/>
      <c r="AA45" s="4"/>
      <c r="AB45" s="11">
        <v>28500000</v>
      </c>
      <c r="AC45" s="4"/>
      <c r="AD45" s="11">
        <v>5700000</v>
      </c>
      <c r="AE45" s="4"/>
      <c r="AF45" s="11">
        <v>65142857.142857149</v>
      </c>
      <c r="AG45" s="4"/>
      <c r="AH45" s="4">
        <v>0.47500000000000003</v>
      </c>
      <c r="AI45" s="4" t="s">
        <v>345</v>
      </c>
      <c r="AJ45" s="4" t="s">
        <v>346</v>
      </c>
      <c r="AK45" s="4" t="s">
        <v>345</v>
      </c>
      <c r="AL45" s="4" t="s">
        <v>345</v>
      </c>
      <c r="AM45" s="4" t="s">
        <v>345</v>
      </c>
      <c r="AN45" s="4" t="s">
        <v>346</v>
      </c>
      <c r="AO45" s="4" t="s">
        <v>345</v>
      </c>
      <c r="AP45" s="7"/>
      <c r="AQ45" s="7"/>
    </row>
    <row r="46" spans="1:43">
      <c r="A46" s="4" t="s">
        <v>63</v>
      </c>
      <c r="B46" s="4" t="s">
        <v>43</v>
      </c>
      <c r="C46" s="4" t="s">
        <v>44</v>
      </c>
      <c r="D46" s="4" t="s">
        <v>64</v>
      </c>
      <c r="E46" s="4" t="s">
        <v>65</v>
      </c>
      <c r="F46" s="4" t="s">
        <v>66</v>
      </c>
      <c r="G46" s="4">
        <v>5</v>
      </c>
      <c r="H46" s="5">
        <v>180000000</v>
      </c>
      <c r="I46" s="5">
        <v>0</v>
      </c>
      <c r="J46" s="5">
        <v>0</v>
      </c>
      <c r="K46" s="5">
        <v>15600000</v>
      </c>
      <c r="L46" s="5">
        <v>8200000</v>
      </c>
      <c r="M46" s="5">
        <v>203800000</v>
      </c>
      <c r="N46" s="5">
        <v>299800000000</v>
      </c>
      <c r="O46" s="5">
        <v>0</v>
      </c>
      <c r="P46" s="5">
        <v>299784400000</v>
      </c>
      <c r="Q46" s="5">
        <v>25000000</v>
      </c>
      <c r="R46" s="5">
        <v>299800000000</v>
      </c>
      <c r="S46" s="4" t="s">
        <v>48</v>
      </c>
      <c r="T46" s="4"/>
      <c r="U46" s="4">
        <v>0.99994799999999995</v>
      </c>
      <c r="V46" s="4">
        <v>59960000000</v>
      </c>
      <c r="W46" s="4">
        <v>1</v>
      </c>
      <c r="X46" s="6" t="s">
        <v>67</v>
      </c>
      <c r="Y46" s="4"/>
      <c r="Z46" s="4"/>
      <c r="AA46" s="4"/>
      <c r="AB46" s="11">
        <v>15600000</v>
      </c>
      <c r="AC46" s="4"/>
      <c r="AD46" s="11">
        <v>3120000</v>
      </c>
      <c r="AE46" s="4"/>
      <c r="AF46" s="11">
        <v>35657142.857142858</v>
      </c>
      <c r="AG46" s="4"/>
      <c r="AH46" s="4">
        <v>0.47500000000000003</v>
      </c>
      <c r="AI46" s="4" t="s">
        <v>345</v>
      </c>
      <c r="AJ46" s="4" t="s">
        <v>346</v>
      </c>
      <c r="AK46" s="4" t="s">
        <v>345</v>
      </c>
      <c r="AL46" s="4" t="s">
        <v>345</v>
      </c>
      <c r="AM46" s="4" t="s">
        <v>345</v>
      </c>
      <c r="AN46" s="4" t="s">
        <v>346</v>
      </c>
      <c r="AO46" s="4" t="s">
        <v>345</v>
      </c>
      <c r="AP46" s="7"/>
      <c r="AQ46" s="7"/>
    </row>
    <row r="47" spans="1:43">
      <c r="A47" s="4" t="s">
        <v>81</v>
      </c>
      <c r="B47" s="4" t="s">
        <v>43</v>
      </c>
      <c r="C47" s="4" t="s">
        <v>82</v>
      </c>
      <c r="D47" s="4" t="s">
        <v>45</v>
      </c>
      <c r="E47" s="4" t="s">
        <v>83</v>
      </c>
      <c r="F47" s="4" t="s">
        <v>84</v>
      </c>
      <c r="G47" s="4">
        <v>5</v>
      </c>
      <c r="H47" s="5">
        <v>360000000</v>
      </c>
      <c r="I47" s="5">
        <v>1000000000</v>
      </c>
      <c r="J47" s="5">
        <v>0</v>
      </c>
      <c r="K47" s="5">
        <v>400000000</v>
      </c>
      <c r="L47" s="5">
        <v>0</v>
      </c>
      <c r="M47" s="5">
        <v>1760000000</v>
      </c>
      <c r="N47" s="5">
        <v>150000000000</v>
      </c>
      <c r="O47" s="5">
        <v>0</v>
      </c>
      <c r="P47" s="5">
        <v>148600000000</v>
      </c>
      <c r="Q47" s="5">
        <v>70000000</v>
      </c>
      <c r="R47" s="5">
        <v>150000000000</v>
      </c>
      <c r="S47" s="4" t="s">
        <v>48</v>
      </c>
      <c r="T47" s="4"/>
      <c r="U47" s="4">
        <v>0.99066699999999996</v>
      </c>
      <c r="V47" s="4">
        <v>30000000000</v>
      </c>
      <c r="W47" s="4">
        <v>1</v>
      </c>
      <c r="X47" s="6" t="s">
        <v>85</v>
      </c>
      <c r="Y47" s="4" t="s">
        <v>86</v>
      </c>
      <c r="Z47" s="4"/>
      <c r="AA47" s="4"/>
      <c r="AB47" s="11">
        <v>1000000000</v>
      </c>
      <c r="AC47" s="4"/>
      <c r="AD47" s="11">
        <v>200000000</v>
      </c>
      <c r="AE47" s="4"/>
      <c r="AF47" s="11">
        <v>2285714285.7142859</v>
      </c>
      <c r="AG47" s="4"/>
      <c r="AH47" s="4">
        <v>0.47500000000000003</v>
      </c>
      <c r="AI47" s="4" t="s">
        <v>345</v>
      </c>
      <c r="AJ47" s="4" t="s">
        <v>345</v>
      </c>
      <c r="AK47" s="4" t="s">
        <v>345</v>
      </c>
      <c r="AL47" s="4" t="s">
        <v>345</v>
      </c>
      <c r="AM47" s="4" t="s">
        <v>345</v>
      </c>
      <c r="AN47" s="4" t="s">
        <v>346</v>
      </c>
      <c r="AO47" s="4" t="s">
        <v>345</v>
      </c>
      <c r="AP47" s="7"/>
      <c r="AQ47" s="7"/>
    </row>
    <row r="48" spans="1:43">
      <c r="A48" s="4" t="s">
        <v>87</v>
      </c>
      <c r="B48" s="4" t="s">
        <v>43</v>
      </c>
      <c r="C48" s="4" t="s">
        <v>88</v>
      </c>
      <c r="D48" s="4" t="s">
        <v>89</v>
      </c>
      <c r="E48" s="4" t="s">
        <v>90</v>
      </c>
      <c r="F48" s="4" t="s">
        <v>91</v>
      </c>
      <c r="G48" s="4">
        <v>1</v>
      </c>
      <c r="H48" s="5">
        <v>0</v>
      </c>
      <c r="I48" s="5">
        <v>0</v>
      </c>
      <c r="J48" s="5">
        <v>0</v>
      </c>
      <c r="K48" s="5">
        <v>81076000</v>
      </c>
      <c r="L48" s="5">
        <v>0</v>
      </c>
      <c r="M48" s="5">
        <v>81076000</v>
      </c>
      <c r="N48" s="5">
        <v>134400000000</v>
      </c>
      <c r="O48" s="5">
        <v>0</v>
      </c>
      <c r="P48" s="5">
        <v>134318924000</v>
      </c>
      <c r="Q48" s="5">
        <v>420000</v>
      </c>
      <c r="R48" s="5">
        <v>134400000000</v>
      </c>
      <c r="S48" s="4" t="s">
        <v>48</v>
      </c>
      <c r="T48" s="4"/>
      <c r="U48" s="4">
        <v>0.99939699999999998</v>
      </c>
      <c r="V48" s="4">
        <v>134400000000</v>
      </c>
      <c r="W48" s="4">
        <v>1</v>
      </c>
      <c r="X48" s="6" t="s">
        <v>92</v>
      </c>
      <c r="Y48" s="4" t="s">
        <v>93</v>
      </c>
      <c r="Z48" s="4"/>
      <c r="AA48" s="4"/>
      <c r="AB48" s="11">
        <v>81076000</v>
      </c>
      <c r="AC48" s="4"/>
      <c r="AD48" s="11">
        <v>16215200</v>
      </c>
      <c r="AE48" s="4"/>
      <c r="AF48" s="11">
        <v>185316571.42857143</v>
      </c>
      <c r="AG48" s="4"/>
      <c r="AH48" s="4">
        <v>0.47500000000000003</v>
      </c>
      <c r="AI48" s="4" t="s">
        <v>345</v>
      </c>
      <c r="AJ48" s="4" t="s">
        <v>346</v>
      </c>
      <c r="AK48" s="4" t="s">
        <v>345</v>
      </c>
      <c r="AL48" s="4" t="s">
        <v>345</v>
      </c>
      <c r="AM48" s="4" t="s">
        <v>345</v>
      </c>
      <c r="AN48" s="4" t="s">
        <v>346</v>
      </c>
      <c r="AO48" s="4" t="s">
        <v>345</v>
      </c>
      <c r="AP48" s="7"/>
      <c r="AQ48" s="7"/>
    </row>
    <row r="49" spans="1:43">
      <c r="A49" s="4" t="s">
        <v>63</v>
      </c>
      <c r="B49" s="4" t="s">
        <v>43</v>
      </c>
      <c r="C49" s="4" t="s">
        <v>132</v>
      </c>
      <c r="D49" s="4" t="s">
        <v>133</v>
      </c>
      <c r="E49" s="4" t="s">
        <v>134</v>
      </c>
      <c r="F49" s="4" t="s">
        <v>135</v>
      </c>
      <c r="G49" s="4">
        <v>1</v>
      </c>
      <c r="H49" s="5">
        <v>0</v>
      </c>
      <c r="I49" s="5">
        <v>20000000</v>
      </c>
      <c r="J49" s="5">
        <v>0</v>
      </c>
      <c r="K49" s="5">
        <v>10000000</v>
      </c>
      <c r="L49" s="5">
        <v>10000000</v>
      </c>
      <c r="M49" s="5">
        <v>40000000</v>
      </c>
      <c r="N49" s="5">
        <v>94000000000</v>
      </c>
      <c r="O49" s="5">
        <v>0</v>
      </c>
      <c r="P49" s="5">
        <v>93970000000</v>
      </c>
      <c r="Q49" s="5">
        <v>10000000</v>
      </c>
      <c r="R49" s="5">
        <v>94000000000</v>
      </c>
      <c r="S49" s="4" t="s">
        <v>48</v>
      </c>
      <c r="T49" s="4"/>
      <c r="U49" s="4">
        <v>0.99968100000000004</v>
      </c>
      <c r="V49" s="4">
        <v>94000000000</v>
      </c>
      <c r="W49" s="4">
        <v>1</v>
      </c>
      <c r="X49" s="6" t="s">
        <v>136</v>
      </c>
      <c r="Y49" s="4"/>
      <c r="Z49" s="4"/>
      <c r="AA49" s="4"/>
      <c r="AB49" s="11">
        <v>20000000</v>
      </c>
      <c r="AC49" s="4"/>
      <c r="AD49" s="11">
        <v>4000000</v>
      </c>
      <c r="AE49" s="4"/>
      <c r="AF49" s="11">
        <v>45714285.714285716</v>
      </c>
      <c r="AG49" s="4"/>
      <c r="AH49" s="4">
        <v>0.47500000000000003</v>
      </c>
      <c r="AI49" s="4" t="s">
        <v>345</v>
      </c>
      <c r="AJ49" s="4" t="s">
        <v>345</v>
      </c>
      <c r="AK49" s="4" t="s">
        <v>345</v>
      </c>
      <c r="AL49" s="4" t="s">
        <v>345</v>
      </c>
      <c r="AM49" s="4" t="s">
        <v>345</v>
      </c>
      <c r="AN49" s="4" t="s">
        <v>346</v>
      </c>
      <c r="AO49" s="4" t="s">
        <v>345</v>
      </c>
      <c r="AP49" s="7"/>
      <c r="AQ49" s="7"/>
    </row>
    <row r="50" spans="1:43">
      <c r="A50" s="4" t="s">
        <v>63</v>
      </c>
      <c r="B50" s="4" t="s">
        <v>43</v>
      </c>
      <c r="C50" s="4" t="s">
        <v>152</v>
      </c>
      <c r="D50" s="4" t="s">
        <v>153</v>
      </c>
      <c r="E50" s="4" t="s">
        <v>154</v>
      </c>
      <c r="F50" s="4" t="s">
        <v>155</v>
      </c>
      <c r="G50" s="4">
        <v>2</v>
      </c>
      <c r="H50" s="5">
        <v>90000000</v>
      </c>
      <c r="I50" s="5">
        <v>0</v>
      </c>
      <c r="J50" s="5">
        <v>0</v>
      </c>
      <c r="K50" s="5">
        <v>35000000</v>
      </c>
      <c r="L50" s="5">
        <v>0</v>
      </c>
      <c r="M50" s="5">
        <v>125000000</v>
      </c>
      <c r="N50" s="5">
        <v>230600000000</v>
      </c>
      <c r="O50" s="5">
        <v>0</v>
      </c>
      <c r="P50" s="5">
        <v>230565000000</v>
      </c>
      <c r="Q50" s="5">
        <v>33000000</v>
      </c>
      <c r="R50" s="5">
        <v>230600000000</v>
      </c>
      <c r="S50" s="4" t="s">
        <v>48</v>
      </c>
      <c r="T50" s="4"/>
      <c r="U50" s="4">
        <v>0.99984799999999996</v>
      </c>
      <c r="V50" s="4">
        <v>115300000000</v>
      </c>
      <c r="W50" s="4">
        <v>1</v>
      </c>
      <c r="X50" s="6" t="s">
        <v>156</v>
      </c>
      <c r="Y50" s="4" t="s">
        <v>157</v>
      </c>
      <c r="Z50" s="4"/>
      <c r="AA50" s="4"/>
      <c r="AB50" s="11">
        <v>35000000</v>
      </c>
      <c r="AC50" s="4"/>
      <c r="AD50" s="11">
        <v>7000000</v>
      </c>
      <c r="AE50" s="4"/>
      <c r="AF50" s="11">
        <v>80000000</v>
      </c>
      <c r="AG50" s="4"/>
      <c r="AH50" s="4">
        <v>0.47499999999999998</v>
      </c>
      <c r="AI50" s="4" t="s">
        <v>345</v>
      </c>
      <c r="AJ50" s="4" t="s">
        <v>346</v>
      </c>
      <c r="AK50" s="4" t="s">
        <v>345</v>
      </c>
      <c r="AL50" s="4" t="s">
        <v>345</v>
      </c>
      <c r="AM50" s="4" t="s">
        <v>345</v>
      </c>
      <c r="AN50" s="4" t="s">
        <v>346</v>
      </c>
      <c r="AO50" s="4" t="s">
        <v>345</v>
      </c>
      <c r="AP50" s="7"/>
      <c r="AQ50" s="7"/>
    </row>
    <row r="51" spans="1:43">
      <c r="A51" s="4" t="s">
        <v>100</v>
      </c>
      <c r="B51" s="4" t="s">
        <v>43</v>
      </c>
      <c r="C51" s="4" t="s">
        <v>158</v>
      </c>
      <c r="D51" s="4" t="s">
        <v>64</v>
      </c>
      <c r="E51" s="4" t="s">
        <v>159</v>
      </c>
      <c r="F51" s="4" t="s">
        <v>160</v>
      </c>
      <c r="G51" s="4">
        <v>4</v>
      </c>
      <c r="H51" s="5">
        <v>15450000</v>
      </c>
      <c r="I51" s="5">
        <v>0</v>
      </c>
      <c r="J51" s="5">
        <v>0</v>
      </c>
      <c r="K51" s="5">
        <v>17640000</v>
      </c>
      <c r="L51" s="5">
        <v>0</v>
      </c>
      <c r="M51" s="5">
        <v>33090000</v>
      </c>
      <c r="N51" s="5">
        <v>62600000000</v>
      </c>
      <c r="O51" s="5">
        <v>0</v>
      </c>
      <c r="P51" s="5">
        <v>62582360000</v>
      </c>
      <c r="Q51" s="5">
        <v>10000000</v>
      </c>
      <c r="R51" s="5">
        <v>62600000000</v>
      </c>
      <c r="S51" s="4" t="s">
        <v>48</v>
      </c>
      <c r="T51" s="4"/>
      <c r="U51" s="4">
        <v>0.999718</v>
      </c>
      <c r="V51" s="4">
        <v>15650000000</v>
      </c>
      <c r="W51" s="4">
        <v>1</v>
      </c>
      <c r="X51" s="6" t="s">
        <v>161</v>
      </c>
      <c r="Y51" s="4" t="s">
        <v>162</v>
      </c>
      <c r="Z51" s="4"/>
      <c r="AA51" s="4"/>
      <c r="AB51" s="11">
        <v>17640000</v>
      </c>
      <c r="AC51" s="4"/>
      <c r="AD51" s="11">
        <v>3528000</v>
      </c>
      <c r="AE51" s="4"/>
      <c r="AF51" s="11">
        <v>40320000</v>
      </c>
      <c r="AG51" s="4"/>
      <c r="AH51" s="4">
        <v>0.47499999999999998</v>
      </c>
      <c r="AI51" s="4" t="s">
        <v>345</v>
      </c>
      <c r="AJ51" s="4" t="s">
        <v>346</v>
      </c>
      <c r="AK51" s="4" t="s">
        <v>345</v>
      </c>
      <c r="AL51" s="4" t="s">
        <v>345</v>
      </c>
      <c r="AM51" s="4" t="s">
        <v>345</v>
      </c>
      <c r="AN51" s="4" t="s">
        <v>346</v>
      </c>
      <c r="AO51" s="4" t="s">
        <v>345</v>
      </c>
      <c r="AP51" s="7"/>
      <c r="AQ51" s="7"/>
    </row>
    <row r="52" spans="1:43">
      <c r="A52" s="4" t="s">
        <v>163</v>
      </c>
      <c r="B52" s="4" t="s">
        <v>43</v>
      </c>
      <c r="C52" s="4" t="s">
        <v>164</v>
      </c>
      <c r="D52" s="4" t="s">
        <v>111</v>
      </c>
      <c r="E52" s="4" t="s">
        <v>165</v>
      </c>
      <c r="F52" s="4" t="s">
        <v>166</v>
      </c>
      <c r="G52" s="4">
        <v>4</v>
      </c>
      <c r="H52" s="5">
        <v>99000000</v>
      </c>
      <c r="I52" s="5">
        <v>0</v>
      </c>
      <c r="J52" s="5">
        <v>0</v>
      </c>
      <c r="K52" s="5">
        <v>120000000</v>
      </c>
      <c r="L52" s="5">
        <v>5000000</v>
      </c>
      <c r="M52" s="5">
        <v>224000000</v>
      </c>
      <c r="N52" s="5">
        <v>330000000000</v>
      </c>
      <c r="O52" s="5">
        <v>5000000</v>
      </c>
      <c r="P52" s="5">
        <v>329880000000</v>
      </c>
      <c r="Q52" s="5">
        <v>360000000</v>
      </c>
      <c r="R52" s="5">
        <v>330000000000</v>
      </c>
      <c r="S52" s="4" t="s">
        <v>48</v>
      </c>
      <c r="T52" s="4"/>
      <c r="U52" s="4">
        <v>0.99963599999999997</v>
      </c>
      <c r="V52" s="4">
        <v>82500000000</v>
      </c>
      <c r="W52" s="4">
        <v>1</v>
      </c>
      <c r="X52" s="6" t="s">
        <v>167</v>
      </c>
      <c r="Y52" s="4" t="s">
        <v>168</v>
      </c>
      <c r="Z52" s="4"/>
      <c r="AA52" s="4"/>
      <c r="AB52" s="11">
        <v>120000000</v>
      </c>
      <c r="AC52" s="4"/>
      <c r="AD52" s="11">
        <v>24000000</v>
      </c>
      <c r="AE52" s="4"/>
      <c r="AF52" s="11">
        <v>274285714.28571427</v>
      </c>
      <c r="AG52" s="4"/>
      <c r="AH52" s="4">
        <v>0.47499999999999998</v>
      </c>
      <c r="AI52" s="4" t="s">
        <v>345</v>
      </c>
      <c r="AJ52" s="4" t="s">
        <v>346</v>
      </c>
      <c r="AK52" s="4" t="s">
        <v>345</v>
      </c>
      <c r="AL52" s="4" t="s">
        <v>345</v>
      </c>
      <c r="AM52" s="4" t="s">
        <v>345</v>
      </c>
      <c r="AN52" s="4" t="s">
        <v>346</v>
      </c>
      <c r="AO52" s="4" t="s">
        <v>345</v>
      </c>
      <c r="AP52" s="7"/>
      <c r="AQ52" s="7"/>
    </row>
    <row r="53" spans="1:43">
      <c r="A53" s="4" t="s">
        <v>56</v>
      </c>
      <c r="B53" s="4" t="s">
        <v>43</v>
      </c>
      <c r="C53" s="4" t="s">
        <v>132</v>
      </c>
      <c r="D53" s="4" t="s">
        <v>89</v>
      </c>
      <c r="E53" s="4" t="s">
        <v>181</v>
      </c>
      <c r="F53" s="4" t="s">
        <v>182</v>
      </c>
      <c r="G53" s="4">
        <v>1</v>
      </c>
      <c r="H53" s="5">
        <v>0</v>
      </c>
      <c r="I53" s="5">
        <v>0</v>
      </c>
      <c r="J53" s="5">
        <v>0</v>
      </c>
      <c r="K53" s="5">
        <v>15000000</v>
      </c>
      <c r="L53" s="5">
        <v>300000</v>
      </c>
      <c r="M53" s="5">
        <v>15300000</v>
      </c>
      <c r="N53" s="5">
        <v>52500000000</v>
      </c>
      <c r="O53" s="5">
        <v>0</v>
      </c>
      <c r="P53" s="5">
        <v>52485000000</v>
      </c>
      <c r="Q53" s="5">
        <v>5500000</v>
      </c>
      <c r="R53" s="5">
        <v>52500000000</v>
      </c>
      <c r="S53" s="4" t="s">
        <v>48</v>
      </c>
      <c r="T53" s="4"/>
      <c r="U53" s="4">
        <v>0.99971399999999999</v>
      </c>
      <c r="V53" s="4">
        <v>52500000000</v>
      </c>
      <c r="W53" s="4">
        <v>1</v>
      </c>
      <c r="X53" s="6" t="s">
        <v>183</v>
      </c>
      <c r="Y53" s="4" t="s">
        <v>184</v>
      </c>
      <c r="Z53" s="4"/>
      <c r="AA53" s="4"/>
      <c r="AB53" s="11">
        <v>15000000</v>
      </c>
      <c r="AC53" s="4"/>
      <c r="AD53" s="11">
        <v>3000000</v>
      </c>
      <c r="AE53" s="4"/>
      <c r="AF53" s="11">
        <v>34285714.285714284</v>
      </c>
      <c r="AG53" s="4"/>
      <c r="AH53" s="4">
        <v>0.47499999999999998</v>
      </c>
      <c r="AI53" s="4" t="s">
        <v>345</v>
      </c>
      <c r="AJ53" s="4" t="s">
        <v>346</v>
      </c>
      <c r="AK53" s="4" t="s">
        <v>345</v>
      </c>
      <c r="AL53" s="4" t="s">
        <v>345</v>
      </c>
      <c r="AM53" s="4" t="s">
        <v>345</v>
      </c>
      <c r="AN53" s="4" t="s">
        <v>346</v>
      </c>
      <c r="AO53" s="4" t="s">
        <v>345</v>
      </c>
      <c r="AP53" s="7"/>
      <c r="AQ53" s="7"/>
    </row>
    <row r="54" spans="1:43">
      <c r="A54" s="4" t="s">
        <v>56</v>
      </c>
      <c r="B54" s="4" t="s">
        <v>43</v>
      </c>
      <c r="C54" s="4" t="s">
        <v>101</v>
      </c>
      <c r="D54" s="4" t="s">
        <v>138</v>
      </c>
      <c r="E54" s="4" t="s">
        <v>190</v>
      </c>
      <c r="F54" s="4" t="s">
        <v>191</v>
      </c>
      <c r="G54" s="4">
        <v>1</v>
      </c>
      <c r="H54" s="5">
        <v>0</v>
      </c>
      <c r="I54" s="5">
        <v>0</v>
      </c>
      <c r="J54" s="5">
        <v>0</v>
      </c>
      <c r="K54" s="5">
        <v>67800000</v>
      </c>
      <c r="L54" s="5">
        <v>1</v>
      </c>
      <c r="M54" s="5">
        <v>67800001</v>
      </c>
      <c r="N54" s="5">
        <v>124800000000</v>
      </c>
      <c r="O54" s="5">
        <v>0</v>
      </c>
      <c r="P54" s="5">
        <v>124732200000</v>
      </c>
      <c r="Q54" s="5">
        <v>0</v>
      </c>
      <c r="R54" s="5">
        <v>124800000000</v>
      </c>
      <c r="S54" s="4" t="s">
        <v>48</v>
      </c>
      <c r="T54" s="4"/>
      <c r="U54" s="4">
        <v>0.99945700000000004</v>
      </c>
      <c r="V54" s="4">
        <v>124800000000</v>
      </c>
      <c r="W54" s="4">
        <v>1</v>
      </c>
      <c r="X54" s="6" t="s">
        <v>192</v>
      </c>
      <c r="Y54" s="4" t="s">
        <v>55</v>
      </c>
      <c r="Z54" s="4"/>
      <c r="AA54" s="4"/>
      <c r="AB54" s="11">
        <v>67800000</v>
      </c>
      <c r="AC54" s="4"/>
      <c r="AD54" s="11">
        <v>13560000</v>
      </c>
      <c r="AE54" s="4"/>
      <c r="AF54" s="11">
        <v>154971428.5714286</v>
      </c>
      <c r="AG54" s="4"/>
      <c r="AH54" s="4">
        <v>0.47500000000000009</v>
      </c>
      <c r="AI54" s="4" t="s">
        <v>345</v>
      </c>
      <c r="AJ54" s="4" t="s">
        <v>346</v>
      </c>
      <c r="AK54" s="4" t="s">
        <v>345</v>
      </c>
      <c r="AL54" s="4" t="s">
        <v>345</v>
      </c>
      <c r="AM54" s="4" t="s">
        <v>345</v>
      </c>
      <c r="AN54" s="4" t="s">
        <v>346</v>
      </c>
      <c r="AO54" s="4" t="s">
        <v>345</v>
      </c>
      <c r="AP54" s="7"/>
      <c r="AQ54" s="7"/>
    </row>
    <row r="55" spans="1:43">
      <c r="A55" s="4" t="s">
        <v>56</v>
      </c>
      <c r="B55" s="4" t="s">
        <v>43</v>
      </c>
      <c r="C55" s="4" t="s">
        <v>132</v>
      </c>
      <c r="D55" s="4" t="s">
        <v>45</v>
      </c>
      <c r="E55" s="4" t="s">
        <v>277</v>
      </c>
      <c r="F55" s="4" t="s">
        <v>278</v>
      </c>
      <c r="G55" s="4">
        <v>1</v>
      </c>
      <c r="H55" s="5">
        <v>0</v>
      </c>
      <c r="I55" s="5">
        <v>0</v>
      </c>
      <c r="J55" s="5">
        <v>0</v>
      </c>
      <c r="K55" s="5">
        <v>3600000</v>
      </c>
      <c r="L55" s="5">
        <v>0</v>
      </c>
      <c r="M55" s="5">
        <v>3600000</v>
      </c>
      <c r="N55" s="5">
        <v>240000000055</v>
      </c>
      <c r="O55" s="5">
        <v>0</v>
      </c>
      <c r="P55" s="5">
        <v>239996400055</v>
      </c>
      <c r="Q55" s="5">
        <v>0</v>
      </c>
      <c r="R55" s="5">
        <v>240000000055</v>
      </c>
      <c r="S55" s="4" t="s">
        <v>48</v>
      </c>
      <c r="T55" s="4"/>
      <c r="U55" s="4">
        <v>0.99998500000000001</v>
      </c>
      <c r="V55" s="4">
        <v>240000000055</v>
      </c>
      <c r="W55" s="4">
        <v>1</v>
      </c>
      <c r="X55" s="6" t="s">
        <v>279</v>
      </c>
      <c r="Y55" s="4"/>
      <c r="Z55" s="4"/>
      <c r="AA55" s="4"/>
      <c r="AB55" s="11">
        <v>3600000</v>
      </c>
      <c r="AC55" s="4"/>
      <c r="AD55" s="11">
        <v>720000</v>
      </c>
      <c r="AE55" s="4"/>
      <c r="AF55" s="11">
        <v>8228571.4285714282</v>
      </c>
      <c r="AG55" s="4"/>
      <c r="AH55" s="4">
        <v>0.47499999999999998</v>
      </c>
      <c r="AI55" s="4" t="s">
        <v>345</v>
      </c>
      <c r="AJ55" s="4" t="s">
        <v>346</v>
      </c>
      <c r="AK55" s="4" t="s">
        <v>345</v>
      </c>
      <c r="AL55" s="4" t="s">
        <v>345</v>
      </c>
      <c r="AM55" s="4" t="s">
        <v>345</v>
      </c>
      <c r="AN55" s="4" t="s">
        <v>346</v>
      </c>
      <c r="AO55" s="4" t="s">
        <v>345</v>
      </c>
      <c r="AP55" s="7"/>
      <c r="AQ55" s="7"/>
    </row>
    <row r="56" spans="1:43">
      <c r="A56" s="4" t="s">
        <v>163</v>
      </c>
      <c r="B56" s="4" t="s">
        <v>43</v>
      </c>
      <c r="C56" s="4" t="s">
        <v>94</v>
      </c>
      <c r="D56" s="4" t="s">
        <v>138</v>
      </c>
      <c r="E56" s="4" t="s">
        <v>283</v>
      </c>
      <c r="F56" s="4" t="s">
        <v>284</v>
      </c>
      <c r="G56" s="4">
        <v>4</v>
      </c>
      <c r="H56" s="5">
        <v>54000000</v>
      </c>
      <c r="I56" s="5">
        <v>43200000</v>
      </c>
      <c r="J56" s="5">
        <v>0</v>
      </c>
      <c r="K56" s="5">
        <v>900000</v>
      </c>
      <c r="L56" s="5">
        <v>0</v>
      </c>
      <c r="M56" s="5">
        <v>98100000</v>
      </c>
      <c r="N56" s="5">
        <v>144000000000</v>
      </c>
      <c r="O56" s="5">
        <v>0</v>
      </c>
      <c r="P56" s="5">
        <v>143955900000</v>
      </c>
      <c r="Q56" s="5">
        <v>450000000</v>
      </c>
      <c r="R56" s="5">
        <v>144000000000</v>
      </c>
      <c r="S56" s="4" t="s">
        <v>48</v>
      </c>
      <c r="T56" s="4" t="s">
        <v>98</v>
      </c>
      <c r="U56" s="4">
        <v>0.99969399999999997</v>
      </c>
      <c r="V56" s="4">
        <v>36000000000</v>
      </c>
      <c r="W56" s="4">
        <v>1</v>
      </c>
      <c r="X56" s="6" t="s">
        <v>285</v>
      </c>
      <c r="Y56" s="4"/>
      <c r="Z56" s="4"/>
      <c r="AA56" s="4"/>
      <c r="AB56" s="11">
        <v>43200000</v>
      </c>
      <c r="AC56" s="4"/>
      <c r="AD56" s="11">
        <v>8640000</v>
      </c>
      <c r="AE56" s="4"/>
      <c r="AF56" s="11">
        <v>98742857.142857149</v>
      </c>
      <c r="AG56" s="4"/>
      <c r="AH56" s="4">
        <v>0.47500000000000003</v>
      </c>
      <c r="AI56" s="4" t="s">
        <v>345</v>
      </c>
      <c r="AJ56" s="4" t="s">
        <v>345</v>
      </c>
      <c r="AK56" s="4" t="s">
        <v>345</v>
      </c>
      <c r="AL56" s="4" t="s">
        <v>345</v>
      </c>
      <c r="AM56" s="4" t="s">
        <v>345</v>
      </c>
      <c r="AN56" s="4" t="s">
        <v>346</v>
      </c>
      <c r="AO56" s="4" t="s">
        <v>345</v>
      </c>
      <c r="AP56" s="7"/>
      <c r="AQ56" s="7"/>
    </row>
    <row r="57" spans="1:43">
      <c r="A57" s="4" t="s">
        <v>56</v>
      </c>
      <c r="B57" s="4" t="s">
        <v>43</v>
      </c>
      <c r="C57" s="4" t="s">
        <v>94</v>
      </c>
      <c r="D57" s="4" t="s">
        <v>89</v>
      </c>
      <c r="E57" s="4" t="s">
        <v>286</v>
      </c>
      <c r="F57" s="4" t="s">
        <v>287</v>
      </c>
      <c r="G57" s="4">
        <v>1</v>
      </c>
      <c r="H57" s="5">
        <v>0</v>
      </c>
      <c r="I57" s="5">
        <v>0</v>
      </c>
      <c r="J57" s="5">
        <v>0</v>
      </c>
      <c r="K57" s="5">
        <v>35000000</v>
      </c>
      <c r="L57" s="5">
        <v>1000000</v>
      </c>
      <c r="M57" s="5">
        <v>36000000</v>
      </c>
      <c r="N57" s="5">
        <v>70000000100</v>
      </c>
      <c r="O57" s="5">
        <v>0</v>
      </c>
      <c r="P57" s="5">
        <v>69965000100</v>
      </c>
      <c r="Q57" s="5">
        <v>0</v>
      </c>
      <c r="R57" s="5">
        <v>70000000100</v>
      </c>
      <c r="S57" s="4" t="s">
        <v>48</v>
      </c>
      <c r="T57" s="4"/>
      <c r="U57" s="4">
        <v>0.99950000000000006</v>
      </c>
      <c r="V57" s="4">
        <v>70000000100</v>
      </c>
      <c r="W57" s="4">
        <v>1</v>
      </c>
      <c r="X57" s="6" t="s">
        <v>288</v>
      </c>
      <c r="Y57" s="4" t="s">
        <v>289</v>
      </c>
      <c r="Z57" s="4"/>
      <c r="AA57" s="4"/>
      <c r="AB57" s="11">
        <v>35000000</v>
      </c>
      <c r="AC57" s="4"/>
      <c r="AD57" s="11">
        <v>7000000</v>
      </c>
      <c r="AE57" s="4"/>
      <c r="AF57" s="11">
        <v>80000000</v>
      </c>
      <c r="AG57" s="4"/>
      <c r="AH57" s="4">
        <v>0.47499999999999998</v>
      </c>
      <c r="AI57" s="4" t="s">
        <v>345</v>
      </c>
      <c r="AJ57" s="4" t="s">
        <v>346</v>
      </c>
      <c r="AK57" s="4" t="s">
        <v>345</v>
      </c>
      <c r="AL57" s="4" t="s">
        <v>345</v>
      </c>
      <c r="AM57" s="4" t="s">
        <v>345</v>
      </c>
      <c r="AN57" s="4" t="s">
        <v>346</v>
      </c>
      <c r="AO57" s="4" t="s">
        <v>345</v>
      </c>
      <c r="AP57" s="7"/>
      <c r="AQ57" s="7"/>
    </row>
    <row r="58" spans="1:43">
      <c r="A58" s="4" t="s">
        <v>294</v>
      </c>
      <c r="B58" s="4" t="s">
        <v>43</v>
      </c>
      <c r="C58" s="4" t="s">
        <v>50</v>
      </c>
      <c r="D58" s="4" t="s">
        <v>95</v>
      </c>
      <c r="E58" s="4" t="s">
        <v>295</v>
      </c>
      <c r="F58" s="4" t="s">
        <v>296</v>
      </c>
      <c r="G58" s="4">
        <v>3</v>
      </c>
      <c r="H58" s="5">
        <v>9000000</v>
      </c>
      <c r="I58" s="5">
        <v>0</v>
      </c>
      <c r="J58" s="5">
        <v>0</v>
      </c>
      <c r="K58" s="5">
        <v>108000000</v>
      </c>
      <c r="L58" s="5">
        <v>0</v>
      </c>
      <c r="M58" s="5">
        <v>117000000</v>
      </c>
      <c r="N58" s="5">
        <v>405000000000</v>
      </c>
      <c r="O58" s="5">
        <v>0</v>
      </c>
      <c r="P58" s="5">
        <v>404892000000</v>
      </c>
      <c r="Q58" s="5">
        <v>440000000</v>
      </c>
      <c r="R58" s="5">
        <v>405000000000</v>
      </c>
      <c r="S58" s="4" t="s">
        <v>48</v>
      </c>
      <c r="T58" s="4"/>
      <c r="U58" s="4">
        <v>0.99973299999999998</v>
      </c>
      <c r="V58" s="4">
        <v>135000000000</v>
      </c>
      <c r="W58" s="4">
        <v>1</v>
      </c>
      <c r="X58" s="6" t="s">
        <v>297</v>
      </c>
      <c r="Y58" s="4" t="s">
        <v>298</v>
      </c>
      <c r="Z58" s="4"/>
      <c r="AA58" s="4"/>
      <c r="AB58" s="11">
        <v>108000000</v>
      </c>
      <c r="AC58" s="4"/>
      <c r="AD58" s="11">
        <v>21600000</v>
      </c>
      <c r="AE58" s="4"/>
      <c r="AF58" s="11">
        <v>246857142.85714287</v>
      </c>
      <c r="AG58" s="4"/>
      <c r="AH58" s="4">
        <v>0.47500000000000003</v>
      </c>
      <c r="AI58" s="4" t="s">
        <v>345</v>
      </c>
      <c r="AJ58" s="4" t="s">
        <v>346</v>
      </c>
      <c r="AK58" s="4" t="s">
        <v>345</v>
      </c>
      <c r="AL58" s="4" t="s">
        <v>345</v>
      </c>
      <c r="AM58" s="4" t="s">
        <v>345</v>
      </c>
      <c r="AN58" s="4" t="s">
        <v>346</v>
      </c>
      <c r="AO58" s="4" t="s">
        <v>345</v>
      </c>
      <c r="AP58" s="7"/>
      <c r="AQ58" s="7"/>
    </row>
    <row r="59" spans="1:43">
      <c r="A59" s="4" t="s">
        <v>203</v>
      </c>
      <c r="B59" s="4" t="s">
        <v>43</v>
      </c>
      <c r="C59" s="4" t="s">
        <v>132</v>
      </c>
      <c r="D59" s="4" t="s">
        <v>111</v>
      </c>
      <c r="E59" s="4" t="s">
        <v>314</v>
      </c>
      <c r="F59" s="4" t="s">
        <v>315</v>
      </c>
      <c r="G59" s="4">
        <v>1</v>
      </c>
      <c r="H59" s="5">
        <v>0</v>
      </c>
      <c r="I59" s="5">
        <v>12000000</v>
      </c>
      <c r="J59" s="5">
        <v>0</v>
      </c>
      <c r="K59" s="5">
        <v>12000000</v>
      </c>
      <c r="L59" s="5">
        <v>0</v>
      </c>
      <c r="M59" s="5">
        <v>24000000</v>
      </c>
      <c r="N59" s="5">
        <v>56160000000</v>
      </c>
      <c r="O59" s="5">
        <v>0</v>
      </c>
      <c r="P59" s="5">
        <v>56136000000</v>
      </c>
      <c r="Q59" s="5">
        <v>8000000</v>
      </c>
      <c r="R59" s="5">
        <v>56160000000</v>
      </c>
      <c r="S59" s="4" t="s">
        <v>48</v>
      </c>
      <c r="T59" s="4"/>
      <c r="U59" s="4">
        <v>0.99957300000000004</v>
      </c>
      <c r="V59" s="4">
        <v>56160000000</v>
      </c>
      <c r="W59" s="4">
        <v>1</v>
      </c>
      <c r="X59" s="6" t="s">
        <v>316</v>
      </c>
      <c r="Y59" s="4"/>
      <c r="Z59" s="4"/>
      <c r="AA59" s="4"/>
      <c r="AB59" s="11">
        <v>12000000</v>
      </c>
      <c r="AC59" s="4"/>
      <c r="AD59" s="11">
        <v>2400000</v>
      </c>
      <c r="AE59" s="4"/>
      <c r="AF59" s="11">
        <v>27428571.428571425</v>
      </c>
      <c r="AG59" s="4"/>
      <c r="AH59" s="4">
        <v>0.47499999999999992</v>
      </c>
      <c r="AI59" s="4" t="s">
        <v>345</v>
      </c>
      <c r="AJ59" s="4" t="s">
        <v>345</v>
      </c>
      <c r="AK59" s="4" t="s">
        <v>345</v>
      </c>
      <c r="AL59" s="4" t="s">
        <v>345</v>
      </c>
      <c r="AM59" s="4" t="s">
        <v>345</v>
      </c>
      <c r="AN59" s="4" t="s">
        <v>346</v>
      </c>
      <c r="AO59" s="4" t="s">
        <v>345</v>
      </c>
      <c r="AP59" s="7"/>
      <c r="AQ59" s="7"/>
    </row>
    <row r="60" spans="1:43">
      <c r="A60" s="4" t="s">
        <v>317</v>
      </c>
      <c r="B60" s="4" t="s">
        <v>43</v>
      </c>
      <c r="C60" s="4" t="s">
        <v>50</v>
      </c>
      <c r="D60" s="4" t="s">
        <v>318</v>
      </c>
      <c r="E60" s="4" t="s">
        <v>319</v>
      </c>
      <c r="F60" s="4" t="s">
        <v>320</v>
      </c>
      <c r="G60" s="4">
        <v>1</v>
      </c>
      <c r="H60" s="5">
        <v>0</v>
      </c>
      <c r="I60" s="5">
        <v>80000000</v>
      </c>
      <c r="J60" s="5">
        <v>0</v>
      </c>
      <c r="K60" s="5">
        <v>60000000</v>
      </c>
      <c r="L60" s="5">
        <v>0</v>
      </c>
      <c r="M60" s="5">
        <v>140000000</v>
      </c>
      <c r="N60" s="5">
        <v>200000000000</v>
      </c>
      <c r="O60" s="5">
        <v>0</v>
      </c>
      <c r="P60" s="5">
        <v>199860000000</v>
      </c>
      <c r="Q60" s="5">
        <v>400000000</v>
      </c>
      <c r="R60" s="5">
        <v>200000000000</v>
      </c>
      <c r="S60" s="4" t="s">
        <v>48</v>
      </c>
      <c r="T60" s="4"/>
      <c r="U60" s="4">
        <v>0.99929999999999997</v>
      </c>
      <c r="V60" s="4">
        <v>200000000000</v>
      </c>
      <c r="W60" s="4">
        <v>1</v>
      </c>
      <c r="X60" s="6" t="s">
        <v>321</v>
      </c>
      <c r="Y60" s="4"/>
      <c r="Z60" s="4"/>
      <c r="AA60" s="4"/>
      <c r="AB60" s="11">
        <v>80000000</v>
      </c>
      <c r="AC60" s="4"/>
      <c r="AD60" s="11">
        <v>16000000</v>
      </c>
      <c r="AE60" s="4"/>
      <c r="AF60" s="11">
        <v>182857142.85714287</v>
      </c>
      <c r="AG60" s="4"/>
      <c r="AH60" s="4">
        <v>0.47500000000000003</v>
      </c>
      <c r="AI60" s="4" t="s">
        <v>345</v>
      </c>
      <c r="AJ60" s="4" t="s">
        <v>345</v>
      </c>
      <c r="AK60" s="4" t="s">
        <v>345</v>
      </c>
      <c r="AL60" s="4" t="s">
        <v>345</v>
      </c>
      <c r="AM60" s="4" t="s">
        <v>345</v>
      </c>
      <c r="AN60" s="4" t="s">
        <v>346</v>
      </c>
      <c r="AO60" s="4" t="s">
        <v>345</v>
      </c>
      <c r="AP60" s="7"/>
      <c r="AQ60" s="7"/>
    </row>
    <row r="61" spans="1:43">
      <c r="A61" s="4" t="s">
        <v>203</v>
      </c>
      <c r="B61" s="4" t="s">
        <v>43</v>
      </c>
      <c r="C61" s="4" t="s">
        <v>75</v>
      </c>
      <c r="D61" s="4" t="s">
        <v>111</v>
      </c>
      <c r="E61" s="4" t="s">
        <v>327</v>
      </c>
      <c r="F61" s="4" t="s">
        <v>328</v>
      </c>
      <c r="G61" s="4">
        <v>1</v>
      </c>
      <c r="H61" s="5">
        <v>0</v>
      </c>
      <c r="I61" s="5">
        <v>0</v>
      </c>
      <c r="J61" s="5">
        <v>0</v>
      </c>
      <c r="K61" s="5">
        <v>57600000</v>
      </c>
      <c r="L61" s="5">
        <v>400000</v>
      </c>
      <c r="M61" s="5">
        <v>58000000</v>
      </c>
      <c r="N61" s="5">
        <v>96000000000</v>
      </c>
      <c r="O61" s="5">
        <v>0</v>
      </c>
      <c r="P61" s="5">
        <v>95942400000</v>
      </c>
      <c r="Q61" s="5">
        <v>0</v>
      </c>
      <c r="R61" s="5">
        <v>96000000000</v>
      </c>
      <c r="S61" s="4" t="s">
        <v>48</v>
      </c>
      <c r="T61" s="4"/>
      <c r="U61" s="4">
        <v>0.99939999999999996</v>
      </c>
      <c r="V61" s="4">
        <v>96000000000</v>
      </c>
      <c r="W61" s="4">
        <v>1</v>
      </c>
      <c r="X61" s="6" t="s">
        <v>329</v>
      </c>
      <c r="Y61" s="4"/>
      <c r="Z61" s="4"/>
      <c r="AA61" s="4"/>
      <c r="AB61" s="11">
        <v>57600000</v>
      </c>
      <c r="AC61" s="4"/>
      <c r="AD61" s="11">
        <v>11520000</v>
      </c>
      <c r="AE61" s="4"/>
      <c r="AF61" s="11">
        <v>131657142.85714285</v>
      </c>
      <c r="AG61" s="4"/>
      <c r="AH61" s="4">
        <v>0.47499999999999998</v>
      </c>
      <c r="AI61" s="4" t="s">
        <v>345</v>
      </c>
      <c r="AJ61" s="4" t="s">
        <v>346</v>
      </c>
      <c r="AK61" s="4" t="s">
        <v>345</v>
      </c>
      <c r="AL61" s="4" t="s">
        <v>345</v>
      </c>
      <c r="AM61" s="4" t="s">
        <v>345</v>
      </c>
      <c r="AN61" s="4" t="s">
        <v>346</v>
      </c>
      <c r="AO61" s="4" t="s">
        <v>345</v>
      </c>
      <c r="AP61" s="7"/>
      <c r="AQ61" s="7"/>
    </row>
    <row r="62" spans="1:43">
      <c r="A62" s="4" t="s">
        <v>68</v>
      </c>
      <c r="B62" s="4" t="s">
        <v>43</v>
      </c>
      <c r="C62" s="4" t="s">
        <v>69</v>
      </c>
      <c r="D62" s="4" t="s">
        <v>70</v>
      </c>
      <c r="E62" s="4" t="s">
        <v>71</v>
      </c>
      <c r="F62" s="4" t="s">
        <v>72</v>
      </c>
      <c r="G62" s="4">
        <v>21</v>
      </c>
      <c r="H62" s="5">
        <v>4695998146</v>
      </c>
      <c r="I62" s="5">
        <v>0</v>
      </c>
      <c r="J62" s="5">
        <v>0</v>
      </c>
      <c r="K62" s="5">
        <v>79980789481</v>
      </c>
      <c r="L62" s="5">
        <v>150802906807</v>
      </c>
      <c r="M62" s="5">
        <v>235479694434</v>
      </c>
      <c r="N62" s="5">
        <v>297244682000</v>
      </c>
      <c r="O62" s="5">
        <v>8939181638</v>
      </c>
      <c r="P62" s="5">
        <v>217263892519</v>
      </c>
      <c r="Q62" s="5">
        <v>1385727600000</v>
      </c>
      <c r="R62" s="5">
        <v>297244682000</v>
      </c>
      <c r="S62" s="4" t="s">
        <v>48</v>
      </c>
      <c r="T62" s="4"/>
      <c r="U62" s="4">
        <v>0.73092599999999996</v>
      </c>
      <c r="V62" s="4">
        <v>14154508666.666599</v>
      </c>
      <c r="W62" s="4">
        <v>1</v>
      </c>
      <c r="X62" s="6" t="s">
        <v>73</v>
      </c>
      <c r="Y62" s="4" t="s">
        <v>74</v>
      </c>
      <c r="Z62" s="4"/>
      <c r="AA62" s="4"/>
      <c r="AB62" s="4"/>
      <c r="AC62" s="4"/>
      <c r="AD62" s="11"/>
      <c r="AE62" s="4"/>
      <c r="AF62" s="4"/>
      <c r="AG62" s="4"/>
      <c r="AH62" s="4"/>
      <c r="AI62" s="4" t="s">
        <v>345</v>
      </c>
      <c r="AJ62" s="4" t="s">
        <v>345</v>
      </c>
      <c r="AK62" s="4" t="s">
        <v>345</v>
      </c>
      <c r="AL62" s="4" t="s">
        <v>345</v>
      </c>
      <c r="AM62" s="4" t="s">
        <v>345</v>
      </c>
      <c r="AN62" s="4" t="s">
        <v>345</v>
      </c>
      <c r="AO62" s="4" t="s">
        <v>345</v>
      </c>
      <c r="AP62" s="7"/>
      <c r="AQ62" s="7"/>
    </row>
    <row r="63" spans="1:43">
      <c r="A63" s="4" t="s">
        <v>56</v>
      </c>
      <c r="B63" s="4" t="s">
        <v>43</v>
      </c>
      <c r="C63" s="4" t="s">
        <v>137</v>
      </c>
      <c r="D63" s="4" t="s">
        <v>51</v>
      </c>
      <c r="E63" s="4" t="s">
        <v>148</v>
      </c>
      <c r="F63" s="4" t="s">
        <v>149</v>
      </c>
      <c r="G63" s="4">
        <v>24</v>
      </c>
      <c r="H63" s="5">
        <v>9563967640</v>
      </c>
      <c r="I63" s="5">
        <v>51932773329</v>
      </c>
      <c r="J63" s="5">
        <v>0</v>
      </c>
      <c r="K63" s="5">
        <v>5109622721</v>
      </c>
      <c r="L63" s="5">
        <v>0</v>
      </c>
      <c r="M63" s="5">
        <v>66606363690</v>
      </c>
      <c r="N63" s="5">
        <v>77783121694</v>
      </c>
      <c r="O63" s="5">
        <v>132415955</v>
      </c>
      <c r="P63" s="5">
        <v>20740725644</v>
      </c>
      <c r="Q63" s="5">
        <v>19728269174</v>
      </c>
      <c r="R63" s="5">
        <v>77783121694</v>
      </c>
      <c r="S63" s="4" t="s">
        <v>48</v>
      </c>
      <c r="T63" s="4"/>
      <c r="U63" s="4">
        <v>0.266648</v>
      </c>
      <c r="V63" s="4">
        <v>3240963403.9166598</v>
      </c>
      <c r="W63" s="4">
        <v>1</v>
      </c>
      <c r="X63" s="6" t="s">
        <v>150</v>
      </c>
      <c r="Y63" s="4" t="s">
        <v>151</v>
      </c>
      <c r="Z63" s="4"/>
      <c r="AA63" s="4"/>
      <c r="AB63" s="4"/>
      <c r="AC63" s="4"/>
      <c r="AD63" s="11"/>
      <c r="AE63" s="4"/>
      <c r="AF63" s="4"/>
      <c r="AG63" s="4"/>
      <c r="AH63" s="4"/>
      <c r="AI63" s="4" t="s">
        <v>345</v>
      </c>
      <c r="AJ63" s="4" t="s">
        <v>345</v>
      </c>
      <c r="AK63" s="4" t="s">
        <v>345</v>
      </c>
      <c r="AL63" s="4" t="s">
        <v>345</v>
      </c>
      <c r="AM63" s="4" t="s">
        <v>345</v>
      </c>
      <c r="AN63" s="4" t="s">
        <v>345</v>
      </c>
      <c r="AO63" s="4" t="s">
        <v>345</v>
      </c>
      <c r="AP63" s="7"/>
      <c r="AQ63" s="7"/>
    </row>
    <row r="64" spans="1:43">
      <c r="A64" s="4" t="s">
        <v>81</v>
      </c>
      <c r="B64" s="4" t="s">
        <v>43</v>
      </c>
      <c r="C64" s="4" t="s">
        <v>185</v>
      </c>
      <c r="D64" s="4" t="s">
        <v>186</v>
      </c>
      <c r="E64" s="4" t="s">
        <v>187</v>
      </c>
      <c r="F64" s="4" t="s">
        <v>188</v>
      </c>
      <c r="G64" s="4">
        <v>100</v>
      </c>
      <c r="H64" s="5">
        <v>120000000000</v>
      </c>
      <c r="I64" s="5">
        <v>100000000000</v>
      </c>
      <c r="J64" s="5">
        <v>0</v>
      </c>
      <c r="K64" s="5">
        <v>50000000000</v>
      </c>
      <c r="L64" s="5">
        <v>80000000000</v>
      </c>
      <c r="M64" s="5">
        <v>350000000000</v>
      </c>
      <c r="N64" s="5">
        <v>540000000000</v>
      </c>
      <c r="O64" s="5">
        <v>0</v>
      </c>
      <c r="P64" s="5">
        <v>390000000000</v>
      </c>
      <c r="Q64" s="5">
        <v>10000000000</v>
      </c>
      <c r="R64" s="5">
        <v>540000000000</v>
      </c>
      <c r="S64" s="4" t="s">
        <v>48</v>
      </c>
      <c r="T64" s="4" t="s">
        <v>98</v>
      </c>
      <c r="U64" s="4">
        <v>0.72222200000000003</v>
      </c>
      <c r="V64" s="4">
        <v>5400000000</v>
      </c>
      <c r="W64" s="4">
        <v>1</v>
      </c>
      <c r="X64" s="6" t="s">
        <v>189</v>
      </c>
      <c r="Y64" s="4"/>
      <c r="Z64" s="4"/>
      <c r="AA64" s="4"/>
      <c r="AB64" s="4"/>
      <c r="AC64" s="4"/>
      <c r="AD64" s="11"/>
      <c r="AE64" s="4"/>
      <c r="AF64" s="4"/>
      <c r="AG64" s="4"/>
      <c r="AH64" s="4"/>
      <c r="AI64" s="4" t="s">
        <v>345</v>
      </c>
      <c r="AJ64" s="4" t="s">
        <v>345</v>
      </c>
      <c r="AK64" s="4" t="s">
        <v>345</v>
      </c>
      <c r="AL64" s="4" t="s">
        <v>345</v>
      </c>
      <c r="AM64" s="4" t="s">
        <v>345</v>
      </c>
      <c r="AN64" s="4" t="s">
        <v>345</v>
      </c>
      <c r="AO64" s="4" t="s">
        <v>345</v>
      </c>
      <c r="AP64" s="7"/>
      <c r="AQ64" s="7"/>
    </row>
    <row r="65" spans="1:43">
      <c r="A65" s="4" t="s">
        <v>203</v>
      </c>
      <c r="B65" s="4" t="s">
        <v>43</v>
      </c>
      <c r="C65" s="4" t="s">
        <v>137</v>
      </c>
      <c r="D65" s="4" t="s">
        <v>64</v>
      </c>
      <c r="E65" s="4" t="s">
        <v>204</v>
      </c>
      <c r="F65" s="4" t="s">
        <v>205</v>
      </c>
      <c r="G65" s="4">
        <v>42</v>
      </c>
      <c r="H65" s="5">
        <v>2100000000</v>
      </c>
      <c r="I65" s="5">
        <v>22000000000</v>
      </c>
      <c r="J65" s="5">
        <v>0</v>
      </c>
      <c r="K65" s="5">
        <v>70000000</v>
      </c>
      <c r="L65" s="5">
        <v>100000000</v>
      </c>
      <c r="M65" s="5">
        <v>24270000000</v>
      </c>
      <c r="N65" s="5">
        <v>72000000000</v>
      </c>
      <c r="O65" s="5">
        <v>70000000</v>
      </c>
      <c r="P65" s="5">
        <v>49930000000</v>
      </c>
      <c r="Q65" s="5">
        <v>3000000000</v>
      </c>
      <c r="R65" s="5">
        <v>72000000000</v>
      </c>
      <c r="S65" s="4" t="s">
        <v>48</v>
      </c>
      <c r="T65" s="4"/>
      <c r="U65" s="4">
        <v>0.69347199999999998</v>
      </c>
      <c r="V65" s="4">
        <v>1714285714.2857101</v>
      </c>
      <c r="W65" s="4">
        <v>1</v>
      </c>
      <c r="X65" s="6" t="s">
        <v>206</v>
      </c>
      <c r="Y65" s="4"/>
      <c r="Z65" s="4"/>
      <c r="AA65" s="4"/>
      <c r="AB65" s="4"/>
      <c r="AC65" s="4"/>
      <c r="AD65" s="11"/>
      <c r="AE65" s="4"/>
      <c r="AF65" s="4"/>
      <c r="AG65" s="4"/>
      <c r="AH65" s="4"/>
      <c r="AI65" s="4" t="s">
        <v>345</v>
      </c>
      <c r="AJ65" s="4" t="s">
        <v>345</v>
      </c>
      <c r="AK65" s="4" t="s">
        <v>345</v>
      </c>
      <c r="AL65" s="4" t="s">
        <v>345</v>
      </c>
      <c r="AM65" s="4" t="s">
        <v>345</v>
      </c>
      <c r="AN65" s="4" t="s">
        <v>345</v>
      </c>
      <c r="AO65" s="4" t="s">
        <v>345</v>
      </c>
      <c r="AP65" s="7"/>
      <c r="AQ65" s="7"/>
    </row>
    <row r="66" spans="1:43">
      <c r="A66" s="4" t="s">
        <v>56</v>
      </c>
      <c r="B66" s="4" t="s">
        <v>43</v>
      </c>
      <c r="C66" s="4" t="s">
        <v>233</v>
      </c>
      <c r="D66" s="4" t="s">
        <v>127</v>
      </c>
      <c r="E66" s="4" t="s">
        <v>234</v>
      </c>
      <c r="F66" s="4" t="s">
        <v>235</v>
      </c>
      <c r="G66" s="4">
        <v>59</v>
      </c>
      <c r="H66" s="5">
        <v>10572493566</v>
      </c>
      <c r="I66" s="5">
        <v>21752934806</v>
      </c>
      <c r="J66" s="5">
        <v>0</v>
      </c>
      <c r="K66" s="5">
        <v>4122007336</v>
      </c>
      <c r="L66" s="5">
        <v>13367340762</v>
      </c>
      <c r="M66" s="5">
        <v>49814776470</v>
      </c>
      <c r="N66" s="5">
        <v>76521874000</v>
      </c>
      <c r="O66" s="5">
        <v>1429738579</v>
      </c>
      <c r="P66" s="5">
        <v>50646931858</v>
      </c>
      <c r="Q66" s="5">
        <v>47919865000</v>
      </c>
      <c r="R66" s="5">
        <v>76521874000</v>
      </c>
      <c r="S66" s="4" t="s">
        <v>48</v>
      </c>
      <c r="T66" s="4"/>
      <c r="U66" s="4">
        <v>0.66186199999999995</v>
      </c>
      <c r="V66" s="4">
        <v>1296980915.25423</v>
      </c>
      <c r="W66" s="4">
        <v>1</v>
      </c>
      <c r="X66" s="6" t="s">
        <v>236</v>
      </c>
      <c r="Y66" s="4" t="s">
        <v>237</v>
      </c>
      <c r="Z66" s="4"/>
      <c r="AA66" s="4"/>
      <c r="AB66" s="4"/>
      <c r="AC66" s="4"/>
      <c r="AD66" s="11"/>
      <c r="AE66" s="4"/>
      <c r="AF66" s="4"/>
      <c r="AG66" s="4"/>
      <c r="AH66" s="4"/>
      <c r="AI66" s="4" t="s">
        <v>345</v>
      </c>
      <c r="AJ66" s="4" t="s">
        <v>345</v>
      </c>
      <c r="AK66" s="4" t="s">
        <v>345</v>
      </c>
      <c r="AL66" s="4" t="s">
        <v>345</v>
      </c>
      <c r="AM66" s="4" t="s">
        <v>345</v>
      </c>
      <c r="AN66" s="4" t="s">
        <v>345</v>
      </c>
      <c r="AO66" s="4" t="s">
        <v>345</v>
      </c>
      <c r="AP66" s="7"/>
      <c r="AQ66" s="7"/>
    </row>
    <row r="67" spans="1:43">
      <c r="A67" s="4" t="s">
        <v>299</v>
      </c>
      <c r="B67" s="4" t="s">
        <v>43</v>
      </c>
      <c r="C67" s="4" t="s">
        <v>82</v>
      </c>
      <c r="D67" s="4" t="s">
        <v>300</v>
      </c>
      <c r="E67" s="4" t="s">
        <v>301</v>
      </c>
      <c r="F67" s="4" t="s">
        <v>302</v>
      </c>
      <c r="G67" s="4">
        <v>124</v>
      </c>
      <c r="H67" s="5">
        <v>12400000</v>
      </c>
      <c r="I67" s="5">
        <v>0</v>
      </c>
      <c r="J67" s="5">
        <v>0</v>
      </c>
      <c r="K67" s="5">
        <v>67283917957</v>
      </c>
      <c r="L67" s="5">
        <v>0</v>
      </c>
      <c r="M67" s="5">
        <v>67296317957</v>
      </c>
      <c r="N67" s="5">
        <v>90301777165</v>
      </c>
      <c r="O67" s="5">
        <v>0</v>
      </c>
      <c r="P67" s="5">
        <v>23017859208</v>
      </c>
      <c r="Q67" s="5">
        <v>12250000</v>
      </c>
      <c r="R67" s="5">
        <v>90301777165</v>
      </c>
      <c r="S67" s="4" t="s">
        <v>48</v>
      </c>
      <c r="T67" s="4"/>
      <c r="U67" s="4">
        <v>0.25489899999999999</v>
      </c>
      <c r="V67" s="4">
        <v>728240138.42741895</v>
      </c>
      <c r="W67" s="4">
        <v>1</v>
      </c>
      <c r="X67" s="6" t="s">
        <v>303</v>
      </c>
      <c r="Y67" s="4"/>
      <c r="Z67" s="4"/>
      <c r="AA67" s="4"/>
      <c r="AB67" s="4"/>
      <c r="AC67" s="4"/>
      <c r="AD67" s="11"/>
      <c r="AE67" s="4"/>
      <c r="AF67" s="4"/>
      <c r="AG67" s="4"/>
      <c r="AH67" s="4"/>
      <c r="AI67" s="4" t="s">
        <v>345</v>
      </c>
      <c r="AJ67" s="4" t="s">
        <v>345</v>
      </c>
      <c r="AK67" s="4" t="s">
        <v>345</v>
      </c>
      <c r="AL67" s="4" t="s">
        <v>345</v>
      </c>
      <c r="AM67" s="4" t="s">
        <v>345</v>
      </c>
      <c r="AN67" s="4" t="s">
        <v>345</v>
      </c>
      <c r="AO67" s="4" t="s">
        <v>345</v>
      </c>
      <c r="AP67" s="7"/>
      <c r="AQ67" s="7"/>
    </row>
  </sheetData>
  <dataValidations count="1">
    <dataValidation type="list" allowBlank="1" showInputMessage="1" showErrorMessage="1" sqref="AI2:AO67">
      <formula1>"#DC_00,#DC_03"</formula1>
    </dataValidation>
  </dataValidations>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X18" r:id="rId17"/>
    <hyperlink ref="X19" r:id="rId18"/>
    <hyperlink ref="X20" r:id="rId19"/>
    <hyperlink ref="X21" r:id="rId20"/>
    <hyperlink ref="X22" r:id="rId21"/>
    <hyperlink ref="X23" r:id="rId22"/>
    <hyperlink ref="X24" r:id="rId23"/>
    <hyperlink ref="X25" r:id="rId24"/>
    <hyperlink ref="X26" r:id="rId25"/>
    <hyperlink ref="X27" r:id="rId26"/>
    <hyperlink ref="X28" r:id="rId27"/>
    <hyperlink ref="X29" r:id="rId28"/>
    <hyperlink ref="X30" r:id="rId29"/>
    <hyperlink ref="X31" r:id="rId30"/>
    <hyperlink ref="X32" r:id="rId31"/>
    <hyperlink ref="X33" r:id="rId32"/>
    <hyperlink ref="X34" r:id="rId33"/>
    <hyperlink ref="X35" r:id="rId34"/>
    <hyperlink ref="X36" r:id="rId35"/>
    <hyperlink ref="X37" r:id="rId36"/>
    <hyperlink ref="X38" r:id="rId37"/>
    <hyperlink ref="X39" r:id="rId38"/>
    <hyperlink ref="X40" r:id="rId39"/>
    <hyperlink ref="X41" r:id="rId40"/>
    <hyperlink ref="X42" r:id="rId41"/>
    <hyperlink ref="X43" r:id="rId42"/>
    <hyperlink ref="X44" r:id="rId43"/>
    <hyperlink ref="X61" r:id="rId44"/>
    <hyperlink ref="X60" r:id="rId45"/>
    <hyperlink ref="X59" r:id="rId46"/>
    <hyperlink ref="X58" r:id="rId47"/>
    <hyperlink ref="X57" r:id="rId48"/>
    <hyperlink ref="X56" r:id="rId49"/>
    <hyperlink ref="X55" r:id="rId50"/>
    <hyperlink ref="X54" r:id="rId51"/>
    <hyperlink ref="X53" r:id="rId52"/>
    <hyperlink ref="X52" r:id="rId53"/>
    <hyperlink ref="X51" r:id="rId54"/>
    <hyperlink ref="X50" r:id="rId55"/>
    <hyperlink ref="X49" r:id="rId56"/>
    <hyperlink ref="X48" r:id="rId57"/>
    <hyperlink ref="X47" r:id="rId58"/>
    <hyperlink ref="X46" r:id="rId59"/>
    <hyperlink ref="X45" r:id="rId60"/>
    <hyperlink ref="X62" r:id="rId61"/>
    <hyperlink ref="X63" r:id="rId62"/>
    <hyperlink ref="X64" r:id="rId63"/>
    <hyperlink ref="X65" r:id="rId64"/>
    <hyperlink ref="X66" r:id="rId65"/>
    <hyperlink ref="X67" r:id="rId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BPS3200_38</dc:creator>
  <cp:keywords/>
  <dc:description/>
  <cp:lastModifiedBy>BPSAdmin</cp:lastModifiedBy>
  <cp:revision/>
  <dcterms:created xsi:type="dcterms:W3CDTF">2026-10-16T03:24:32Z</dcterms:created>
  <dcterms:modified xsi:type="dcterms:W3CDTF">2026-10-20T07:10:51Z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45550BFA49494639B6EC7A8B3BB3D305_11</vt:lpwstr>
  </property>
  <property fmtid="{D5CDD505-2E9C-101B-9397-08002B2CF9AE}" pid="3" name="KSOProductBuildVer">
    <vt:lpwstr>1033-12.1.0.29162</vt:lpwstr>
  </property>
  <property fmtid="{D5CDD505-2E9C-101B-9397-08002B2CF9AE}" pid="4" name="CalculationRule">
    <vt:i4>1</vt:i4>
  </property>
</Properties>
</file>